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lini\Desktop\"/>
    </mc:Choice>
  </mc:AlternateContent>
  <bookViews>
    <workbookView xWindow="0" yWindow="0" windowWidth="20460" windowHeight="7500" tabRatio="617"/>
  </bookViews>
  <sheets>
    <sheet name="Dash" sheetId="2" r:id="rId1"/>
    <sheet name="Param" sheetId="11" r:id="rId2"/>
    <sheet name="CalcMonth" sheetId="7" r:id="rId3"/>
    <sheet name="CalcClient" sheetId="4" r:id="rId4"/>
    <sheet name="CalcTodate" sheetId="8" r:id="rId5"/>
    <sheet name="Db" sheetId="10" r:id="rId6"/>
    <sheet name="DbExcel" sheetId="1" r:id="rId7"/>
    <sheet name="Curves" sheetId="13" r:id="rId8"/>
    <sheet name="DbWservice" sheetId="9" r:id="rId9"/>
    <sheet name="Help" sheetId="12" r:id="rId10"/>
  </sheets>
  <calcPr calcId="171027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7" l="1"/>
  <c r="C21" i="7"/>
  <c r="D21" i="7" s="1"/>
  <c r="E21" i="7" s="1"/>
  <c r="F21" i="7" s="1"/>
  <c r="D20" i="7"/>
  <c r="E20" i="7"/>
  <c r="F20" i="7"/>
  <c r="G20" i="7"/>
  <c r="H20" i="7"/>
  <c r="I20" i="7"/>
  <c r="J20" i="7"/>
  <c r="K20" i="7"/>
  <c r="L20" i="7"/>
  <c r="M20" i="7"/>
  <c r="N20" i="7"/>
  <c r="C20" i="7"/>
  <c r="C22" i="7" s="1"/>
  <c r="O19" i="7"/>
  <c r="D19" i="7"/>
  <c r="E19" i="7"/>
  <c r="F19" i="7"/>
  <c r="G19" i="7"/>
  <c r="H19" i="7"/>
  <c r="I19" i="7"/>
  <c r="J19" i="7"/>
  <c r="K19" i="7"/>
  <c r="L19" i="7"/>
  <c r="M19" i="7"/>
  <c r="N19" i="7"/>
  <c r="C19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D6" i="13"/>
  <c r="E6" i="13"/>
  <c r="F6" i="13"/>
  <c r="G6" i="13"/>
  <c r="H6" i="13"/>
  <c r="I6" i="13"/>
  <c r="J6" i="13"/>
  <c r="K6" i="13"/>
  <c r="L6" i="13"/>
  <c r="M6" i="13"/>
  <c r="N6" i="13"/>
  <c r="C6" i="13"/>
  <c r="C7" i="13" s="1"/>
  <c r="G21" i="7" l="1"/>
  <c r="H21" i="7" s="1"/>
  <c r="I21" i="7" s="1"/>
  <c r="J21" i="7" s="1"/>
  <c r="F22" i="7"/>
  <c r="F8" i="7" s="1"/>
  <c r="I22" i="7"/>
  <c r="I8" i="7" s="1"/>
  <c r="E22" i="7"/>
  <c r="E8" i="7" s="1"/>
  <c r="H22" i="7"/>
  <c r="H8" i="7" s="1"/>
  <c r="D22" i="7"/>
  <c r="D8" i="7" s="1"/>
  <c r="C8" i="7"/>
  <c r="O20" i="7"/>
  <c r="G22" i="7"/>
  <c r="G8" i="7" s="1"/>
  <c r="D7" i="13"/>
  <c r="E7" i="13" s="1"/>
  <c r="F7" i="13" s="1"/>
  <c r="G7" i="13" s="1"/>
  <c r="H7" i="13" s="1"/>
  <c r="I7" i="13" s="1"/>
  <c r="J7" i="13" s="1"/>
  <c r="K7" i="13" s="1"/>
  <c r="L7" i="13" s="1"/>
  <c r="M7" i="13" s="1"/>
  <c r="N7" i="13" s="1"/>
  <c r="K21" i="7" l="1"/>
  <c r="J22" i="7"/>
  <c r="J8" i="7" s="1"/>
  <c r="L21" i="7" l="1"/>
  <c r="K22" i="7"/>
  <c r="K8" i="7" l="1"/>
  <c r="M21" i="7"/>
  <c r="L22" i="7"/>
  <c r="L8" i="7" s="1"/>
  <c r="N21" i="7" l="1"/>
  <c r="N22" i="7" s="1"/>
  <c r="N8" i="7" s="1"/>
  <c r="M22" i="7"/>
  <c r="M8" i="7" s="1"/>
  <c r="O21" i="7"/>
  <c r="O22" i="7"/>
  <c r="A1" i="13" l="1"/>
  <c r="A1" i="12" l="1"/>
  <c r="A1" i="9" l="1"/>
  <c r="A1" i="10"/>
  <c r="A1" i="8"/>
  <c r="A1" i="4"/>
  <c r="A1" i="7"/>
  <c r="A1" i="11"/>
  <c r="A1" i="1" s="1"/>
  <c r="A1" i="2"/>
  <c r="A4" i="4"/>
  <c r="F12" i="7"/>
  <c r="G12" i="7"/>
  <c r="H12" i="7"/>
  <c r="I12" i="7"/>
  <c r="J12" i="7"/>
  <c r="K12" i="7"/>
  <c r="L12" i="7"/>
  <c r="M12" i="7"/>
  <c r="N12" i="7"/>
  <c r="A6" i="10"/>
  <c r="B6" i="10"/>
  <c r="C6" i="10"/>
  <c r="D6" i="10"/>
  <c r="A7" i="10"/>
  <c r="B7" i="10"/>
  <c r="C7" i="10"/>
  <c r="D7" i="10"/>
  <c r="A8" i="10"/>
  <c r="B8" i="10"/>
  <c r="C8" i="10"/>
  <c r="D8" i="10"/>
  <c r="A9" i="10"/>
  <c r="B9" i="10"/>
  <c r="C9" i="10"/>
  <c r="D9" i="10"/>
  <c r="A10" i="10"/>
  <c r="B10" i="10"/>
  <c r="C10" i="10"/>
  <c r="D10" i="10"/>
  <c r="A11" i="10"/>
  <c r="B11" i="10"/>
  <c r="C11" i="10"/>
  <c r="D11" i="10"/>
  <c r="A12" i="10"/>
  <c r="B12" i="10"/>
  <c r="C12" i="10"/>
  <c r="D12" i="10"/>
  <c r="A13" i="10"/>
  <c r="B13" i="10"/>
  <c r="C13" i="10"/>
  <c r="D13" i="10"/>
  <c r="A14" i="10"/>
  <c r="B14" i="10"/>
  <c r="C14" i="10"/>
  <c r="D14" i="10"/>
  <c r="A15" i="10"/>
  <c r="B15" i="10"/>
  <c r="C15" i="10"/>
  <c r="D15" i="10"/>
  <c r="A16" i="10"/>
  <c r="B16" i="10"/>
  <c r="C16" i="10"/>
  <c r="D16" i="10"/>
  <c r="A17" i="10"/>
  <c r="B17" i="10"/>
  <c r="C17" i="10"/>
  <c r="D17" i="10"/>
  <c r="A18" i="10"/>
  <c r="B18" i="10"/>
  <c r="C18" i="10"/>
  <c r="D18" i="10"/>
  <c r="A19" i="10"/>
  <c r="B19" i="10"/>
  <c r="C19" i="10"/>
  <c r="D19" i="10"/>
  <c r="A20" i="10"/>
  <c r="B20" i="10"/>
  <c r="C20" i="10"/>
  <c r="D20" i="10"/>
  <c r="A21" i="10"/>
  <c r="B21" i="10"/>
  <c r="C21" i="10"/>
  <c r="D21" i="10"/>
  <c r="A22" i="10"/>
  <c r="B22" i="10"/>
  <c r="C22" i="10"/>
  <c r="D22" i="10"/>
  <c r="A23" i="10"/>
  <c r="B23" i="10"/>
  <c r="C23" i="10"/>
  <c r="D23" i="10"/>
  <c r="A24" i="10"/>
  <c r="B24" i="10"/>
  <c r="C24" i="10"/>
  <c r="D24" i="10"/>
  <c r="A25" i="10"/>
  <c r="B25" i="10"/>
  <c r="C25" i="10"/>
  <c r="D25" i="10"/>
  <c r="A26" i="10"/>
  <c r="B26" i="10"/>
  <c r="C26" i="10"/>
  <c r="D26" i="10"/>
  <c r="A27" i="10"/>
  <c r="B27" i="10"/>
  <c r="C27" i="10"/>
  <c r="D27" i="10"/>
  <c r="A28" i="10"/>
  <c r="B28" i="10"/>
  <c r="C28" i="10"/>
  <c r="D28" i="10"/>
  <c r="A29" i="10"/>
  <c r="B29" i="10"/>
  <c r="C29" i="10"/>
  <c r="D29" i="10"/>
  <c r="A30" i="10"/>
  <c r="B30" i="10"/>
  <c r="C30" i="10"/>
  <c r="D30" i="10"/>
  <c r="A31" i="10"/>
  <c r="B31" i="10"/>
  <c r="C31" i="10"/>
  <c r="D31" i="10"/>
  <c r="A32" i="10"/>
  <c r="B32" i="10"/>
  <c r="C32" i="10"/>
  <c r="D32" i="10"/>
  <c r="A33" i="10"/>
  <c r="B33" i="10"/>
  <c r="C33" i="10"/>
  <c r="D33" i="10"/>
  <c r="A34" i="10"/>
  <c r="B34" i="10"/>
  <c r="C34" i="10"/>
  <c r="D34" i="10"/>
  <c r="A35" i="10"/>
  <c r="B35" i="10"/>
  <c r="C35" i="10"/>
  <c r="D35" i="10"/>
  <c r="A36" i="10"/>
  <c r="B36" i="10"/>
  <c r="C36" i="10"/>
  <c r="D36" i="10"/>
  <c r="A37" i="10"/>
  <c r="B37" i="10"/>
  <c r="C37" i="10"/>
  <c r="D37" i="10"/>
  <c r="A38" i="10"/>
  <c r="B38" i="10"/>
  <c r="C38" i="10"/>
  <c r="D38" i="10"/>
  <c r="A39" i="10"/>
  <c r="B39" i="10"/>
  <c r="C39" i="10"/>
  <c r="D39" i="10"/>
  <c r="A40" i="10"/>
  <c r="B40" i="10"/>
  <c r="C40" i="10"/>
  <c r="D40" i="10"/>
  <c r="A41" i="10"/>
  <c r="B41" i="10"/>
  <c r="C41" i="10"/>
  <c r="D41" i="10"/>
  <c r="A42" i="10"/>
  <c r="B42" i="10"/>
  <c r="C42" i="10"/>
  <c r="D42" i="10"/>
  <c r="A43" i="10"/>
  <c r="B43" i="10"/>
  <c r="C43" i="10"/>
  <c r="D43" i="10"/>
  <c r="A44" i="10"/>
  <c r="B44" i="10"/>
  <c r="C44" i="10"/>
  <c r="D44" i="10"/>
  <c r="A45" i="10"/>
  <c r="B45" i="10"/>
  <c r="C45" i="10"/>
  <c r="D45" i="10"/>
  <c r="A46" i="10"/>
  <c r="B46" i="10"/>
  <c r="C46" i="10"/>
  <c r="D46" i="10"/>
  <c r="A47" i="10"/>
  <c r="B47" i="10"/>
  <c r="C47" i="10"/>
  <c r="D47" i="10"/>
  <c r="A48" i="10"/>
  <c r="B48" i="10"/>
  <c r="C48" i="10"/>
  <c r="D48" i="10"/>
  <c r="A49" i="10"/>
  <c r="B49" i="10"/>
  <c r="C49" i="10"/>
  <c r="D49" i="10"/>
  <c r="A50" i="10"/>
  <c r="B50" i="10"/>
  <c r="C50" i="10"/>
  <c r="D50" i="10"/>
  <c r="A51" i="10"/>
  <c r="B51" i="10"/>
  <c r="C51" i="10"/>
  <c r="D51" i="10"/>
  <c r="A52" i="10"/>
  <c r="B52" i="10"/>
  <c r="C52" i="10"/>
  <c r="D52" i="10"/>
  <c r="A53" i="10"/>
  <c r="B53" i="10"/>
  <c r="C53" i="10"/>
  <c r="D53" i="10"/>
  <c r="A54" i="10"/>
  <c r="B54" i="10"/>
  <c r="C54" i="10"/>
  <c r="D54" i="10"/>
  <c r="A55" i="10"/>
  <c r="B55" i="10"/>
  <c r="C55" i="10"/>
  <c r="D55" i="10"/>
  <c r="A56" i="10"/>
  <c r="B56" i="10"/>
  <c r="C56" i="10"/>
  <c r="D56" i="10"/>
  <c r="A57" i="10"/>
  <c r="B57" i="10"/>
  <c r="C57" i="10"/>
  <c r="D57" i="10"/>
  <c r="A58" i="10"/>
  <c r="B58" i="10"/>
  <c r="C58" i="10"/>
  <c r="D58" i="10"/>
  <c r="A59" i="10"/>
  <c r="B59" i="10"/>
  <c r="C59" i="10"/>
  <c r="D59" i="10"/>
  <c r="A60" i="10"/>
  <c r="B60" i="10"/>
  <c r="C60" i="10"/>
  <c r="D60" i="10"/>
  <c r="A61" i="10"/>
  <c r="B61" i="10"/>
  <c r="C61" i="10"/>
  <c r="D61" i="10"/>
  <c r="A62" i="10"/>
  <c r="B62" i="10"/>
  <c r="C62" i="10"/>
  <c r="D62" i="10"/>
  <c r="A63" i="10"/>
  <c r="B63" i="10"/>
  <c r="C63" i="10"/>
  <c r="D63" i="10"/>
  <c r="A64" i="10"/>
  <c r="B64" i="10"/>
  <c r="C64" i="10"/>
  <c r="D64" i="10"/>
  <c r="A65" i="10"/>
  <c r="B65" i="10"/>
  <c r="C65" i="10"/>
  <c r="D65" i="10"/>
  <c r="A66" i="10"/>
  <c r="B66" i="10"/>
  <c r="C66" i="10"/>
  <c r="D66" i="10"/>
  <c r="A67" i="10"/>
  <c r="B67" i="10"/>
  <c r="C67" i="10"/>
  <c r="D67" i="10"/>
  <c r="A68" i="10"/>
  <c r="B68" i="10"/>
  <c r="C68" i="10"/>
  <c r="D68" i="10"/>
  <c r="A69" i="10"/>
  <c r="B69" i="10"/>
  <c r="C69" i="10"/>
  <c r="D69" i="10"/>
  <c r="A70" i="10"/>
  <c r="B70" i="10"/>
  <c r="C70" i="10"/>
  <c r="D70" i="10"/>
  <c r="A71" i="10"/>
  <c r="B71" i="10"/>
  <c r="C71" i="10"/>
  <c r="D71" i="10"/>
  <c r="A72" i="10"/>
  <c r="B72" i="10"/>
  <c r="C72" i="10"/>
  <c r="D72" i="10"/>
  <c r="A73" i="10"/>
  <c r="B73" i="10"/>
  <c r="C73" i="10"/>
  <c r="D73" i="10"/>
  <c r="A74" i="10"/>
  <c r="B74" i="10"/>
  <c r="C74" i="10"/>
  <c r="D74" i="10"/>
  <c r="A75" i="10"/>
  <c r="B75" i="10"/>
  <c r="C75" i="10"/>
  <c r="D75" i="10"/>
  <c r="A76" i="10"/>
  <c r="B76" i="10"/>
  <c r="C76" i="10"/>
  <c r="D76" i="10"/>
  <c r="A77" i="10"/>
  <c r="B77" i="10"/>
  <c r="C77" i="10"/>
  <c r="D77" i="10"/>
  <c r="A78" i="10"/>
  <c r="B78" i="10"/>
  <c r="C78" i="10"/>
  <c r="D78" i="10"/>
  <c r="A79" i="10"/>
  <c r="B79" i="10"/>
  <c r="C79" i="10"/>
  <c r="D79" i="10"/>
  <c r="A80" i="10"/>
  <c r="B80" i="10"/>
  <c r="C80" i="10"/>
  <c r="D80" i="10"/>
  <c r="A81" i="10"/>
  <c r="B81" i="10"/>
  <c r="C81" i="10"/>
  <c r="D81" i="10"/>
  <c r="A82" i="10"/>
  <c r="B82" i="10"/>
  <c r="C82" i="10"/>
  <c r="D82" i="10"/>
  <c r="A83" i="10"/>
  <c r="B83" i="10"/>
  <c r="C83" i="10"/>
  <c r="D83" i="10"/>
  <c r="A84" i="10"/>
  <c r="B84" i="10"/>
  <c r="C84" i="10"/>
  <c r="D84" i="10"/>
  <c r="A85" i="10"/>
  <c r="B85" i="10"/>
  <c r="C85" i="10"/>
  <c r="D85" i="10"/>
  <c r="A86" i="10"/>
  <c r="B86" i="10"/>
  <c r="C86" i="10"/>
  <c r="D86" i="10"/>
  <c r="A87" i="10"/>
  <c r="B87" i="10"/>
  <c r="C87" i="10"/>
  <c r="D87" i="10"/>
  <c r="A88" i="10"/>
  <c r="B88" i="10"/>
  <c r="C88" i="10"/>
  <c r="D88" i="10"/>
  <c r="A89" i="10"/>
  <c r="B89" i="10"/>
  <c r="C89" i="10"/>
  <c r="D89" i="10"/>
  <c r="A90" i="10"/>
  <c r="B90" i="10"/>
  <c r="C90" i="10"/>
  <c r="D90" i="10"/>
  <c r="A91" i="10"/>
  <c r="B91" i="10"/>
  <c r="C91" i="10"/>
  <c r="D91" i="10"/>
  <c r="A92" i="10"/>
  <c r="B92" i="10"/>
  <c r="C92" i="10"/>
  <c r="D92" i="10"/>
  <c r="A93" i="10"/>
  <c r="B93" i="10"/>
  <c r="C93" i="10"/>
  <c r="D93" i="10"/>
  <c r="A94" i="10"/>
  <c r="B94" i="10"/>
  <c r="C94" i="10"/>
  <c r="D94" i="10"/>
  <c r="A95" i="10"/>
  <c r="B95" i="10"/>
  <c r="C95" i="10"/>
  <c r="D95" i="10"/>
  <c r="A96" i="10"/>
  <c r="B96" i="10"/>
  <c r="C96" i="10"/>
  <c r="D96" i="10"/>
  <c r="A97" i="10"/>
  <c r="B97" i="10"/>
  <c r="C97" i="10"/>
  <c r="D97" i="10"/>
  <c r="A98" i="10"/>
  <c r="B98" i="10"/>
  <c r="C98" i="10"/>
  <c r="D98" i="10"/>
  <c r="A99" i="10"/>
  <c r="B99" i="10"/>
  <c r="C99" i="10"/>
  <c r="D99" i="10"/>
  <c r="A100" i="10"/>
  <c r="B100" i="10"/>
  <c r="C100" i="10"/>
  <c r="D100" i="10"/>
  <c r="A101" i="10"/>
  <c r="B101" i="10"/>
  <c r="C101" i="10"/>
  <c r="D101" i="10"/>
  <c r="A102" i="10"/>
  <c r="B102" i="10"/>
  <c r="C102" i="10"/>
  <c r="D102" i="10"/>
  <c r="A103" i="10"/>
  <c r="B103" i="10"/>
  <c r="C103" i="10"/>
  <c r="D103" i="10"/>
  <c r="A104" i="10"/>
  <c r="B104" i="10"/>
  <c r="C104" i="10"/>
  <c r="D104" i="10"/>
  <c r="A105" i="10"/>
  <c r="B105" i="10"/>
  <c r="C105" i="10"/>
  <c r="D105" i="10"/>
  <c r="A106" i="10"/>
  <c r="B106" i="10"/>
  <c r="C106" i="10"/>
  <c r="D106" i="10"/>
  <c r="A107" i="10"/>
  <c r="B107" i="10"/>
  <c r="C107" i="10"/>
  <c r="D107" i="10"/>
  <c r="A108" i="10"/>
  <c r="B108" i="10"/>
  <c r="C108" i="10"/>
  <c r="D108" i="10"/>
  <c r="A109" i="10"/>
  <c r="B109" i="10"/>
  <c r="C109" i="10"/>
  <c r="D109" i="10"/>
  <c r="A110" i="10"/>
  <c r="B110" i="10"/>
  <c r="C110" i="10"/>
  <c r="D110" i="10"/>
  <c r="A111" i="10"/>
  <c r="B111" i="10"/>
  <c r="C111" i="10"/>
  <c r="D111" i="10"/>
  <c r="A112" i="10"/>
  <c r="B112" i="10"/>
  <c r="C112" i="10"/>
  <c r="D112" i="10"/>
  <c r="A113" i="10"/>
  <c r="B113" i="10"/>
  <c r="C113" i="10"/>
  <c r="D113" i="10"/>
  <c r="A114" i="10"/>
  <c r="B114" i="10"/>
  <c r="C114" i="10"/>
  <c r="D114" i="10"/>
  <c r="A115" i="10"/>
  <c r="B115" i="10"/>
  <c r="C115" i="10"/>
  <c r="D115" i="10"/>
  <c r="A116" i="10"/>
  <c r="B116" i="10"/>
  <c r="C116" i="10"/>
  <c r="D116" i="10"/>
  <c r="A117" i="10"/>
  <c r="B117" i="10"/>
  <c r="C117" i="10"/>
  <c r="D117" i="10"/>
  <c r="A118" i="10"/>
  <c r="B118" i="10"/>
  <c r="C118" i="10"/>
  <c r="D118" i="10"/>
  <c r="A119" i="10"/>
  <c r="B119" i="10"/>
  <c r="C119" i="10"/>
  <c r="D119" i="10"/>
  <c r="A120" i="10"/>
  <c r="B120" i="10"/>
  <c r="C120" i="10"/>
  <c r="D120" i="10"/>
  <c r="A121" i="10"/>
  <c r="B121" i="10"/>
  <c r="C121" i="10"/>
  <c r="D121" i="10"/>
  <c r="A122" i="10"/>
  <c r="B122" i="10"/>
  <c r="C122" i="10"/>
  <c r="D122" i="10"/>
  <c r="A123" i="10"/>
  <c r="B123" i="10"/>
  <c r="C123" i="10"/>
  <c r="D123" i="10"/>
  <c r="A124" i="10"/>
  <c r="B124" i="10"/>
  <c r="C124" i="10"/>
  <c r="D124" i="10"/>
  <c r="A125" i="10"/>
  <c r="B125" i="10"/>
  <c r="C125" i="10"/>
  <c r="D125" i="10"/>
  <c r="A126" i="10"/>
  <c r="B126" i="10"/>
  <c r="C126" i="10"/>
  <c r="D126" i="10"/>
  <c r="A127" i="10"/>
  <c r="B127" i="10"/>
  <c r="C127" i="10"/>
  <c r="D127" i="10"/>
  <c r="A128" i="10"/>
  <c r="B128" i="10"/>
  <c r="C128" i="10"/>
  <c r="D128" i="10"/>
  <c r="A129" i="10"/>
  <c r="B129" i="10"/>
  <c r="C129" i="10"/>
  <c r="D129" i="10"/>
  <c r="A130" i="10"/>
  <c r="B130" i="10"/>
  <c r="C130" i="10"/>
  <c r="D130" i="10"/>
  <c r="A131" i="10"/>
  <c r="B131" i="10"/>
  <c r="C131" i="10"/>
  <c r="D131" i="10"/>
  <c r="A132" i="10"/>
  <c r="B132" i="10"/>
  <c r="C132" i="10"/>
  <c r="D132" i="10"/>
  <c r="A133" i="10"/>
  <c r="B133" i="10"/>
  <c r="C133" i="10"/>
  <c r="D133" i="10"/>
  <c r="A134" i="10"/>
  <c r="B134" i="10"/>
  <c r="C134" i="10"/>
  <c r="D134" i="10"/>
  <c r="A135" i="10"/>
  <c r="B135" i="10"/>
  <c r="C135" i="10"/>
  <c r="D135" i="10"/>
  <c r="A136" i="10"/>
  <c r="B136" i="10"/>
  <c r="C136" i="10"/>
  <c r="D136" i="10"/>
  <c r="A137" i="10"/>
  <c r="B137" i="10"/>
  <c r="C137" i="10"/>
  <c r="D137" i="10"/>
  <c r="A138" i="10"/>
  <c r="B138" i="10"/>
  <c r="C138" i="10"/>
  <c r="D138" i="10"/>
  <c r="A139" i="10"/>
  <c r="B139" i="10"/>
  <c r="C139" i="10"/>
  <c r="D139" i="10"/>
  <c r="A140" i="10"/>
  <c r="B140" i="10"/>
  <c r="C140" i="10"/>
  <c r="D140" i="10"/>
  <c r="A141" i="10"/>
  <c r="B141" i="10"/>
  <c r="C141" i="10"/>
  <c r="D141" i="10"/>
  <c r="A142" i="10"/>
  <c r="B142" i="10"/>
  <c r="C142" i="10"/>
  <c r="D142" i="10"/>
  <c r="A143" i="10"/>
  <c r="B143" i="10"/>
  <c r="C143" i="10"/>
  <c r="D143" i="10"/>
  <c r="A144" i="10"/>
  <c r="B144" i="10"/>
  <c r="C144" i="10"/>
  <c r="D144" i="10"/>
  <c r="A145" i="10"/>
  <c r="B145" i="10"/>
  <c r="C145" i="10"/>
  <c r="D145" i="10"/>
  <c r="A146" i="10"/>
  <c r="B146" i="10"/>
  <c r="C146" i="10"/>
  <c r="D146" i="10"/>
  <c r="A147" i="10"/>
  <c r="B147" i="10"/>
  <c r="C147" i="10"/>
  <c r="D147" i="10"/>
  <c r="A148" i="10"/>
  <c r="B148" i="10"/>
  <c r="C148" i="10"/>
  <c r="D148" i="10"/>
  <c r="A149" i="10"/>
  <c r="B149" i="10"/>
  <c r="C149" i="10"/>
  <c r="D149" i="10"/>
  <c r="A150" i="10"/>
  <c r="B150" i="10"/>
  <c r="C150" i="10"/>
  <c r="D150" i="10"/>
  <c r="A151" i="10"/>
  <c r="B151" i="10"/>
  <c r="C151" i="10"/>
  <c r="D151" i="10"/>
  <c r="A152" i="10"/>
  <c r="B152" i="10"/>
  <c r="C152" i="10"/>
  <c r="D152" i="10"/>
  <c r="A153" i="10"/>
  <c r="B153" i="10"/>
  <c r="C153" i="10"/>
  <c r="D153" i="10"/>
  <c r="A154" i="10"/>
  <c r="B154" i="10"/>
  <c r="C154" i="10"/>
  <c r="D154" i="10"/>
  <c r="A155" i="10"/>
  <c r="B155" i="10"/>
  <c r="C155" i="10"/>
  <c r="D155" i="10"/>
  <c r="A156" i="10"/>
  <c r="B156" i="10"/>
  <c r="C156" i="10"/>
  <c r="D156" i="10"/>
  <c r="A157" i="10"/>
  <c r="B157" i="10"/>
  <c r="C157" i="10"/>
  <c r="D157" i="10"/>
  <c r="A158" i="10"/>
  <c r="B158" i="10"/>
  <c r="C158" i="10"/>
  <c r="D158" i="10"/>
  <c r="A159" i="10"/>
  <c r="B159" i="10"/>
  <c r="C159" i="10"/>
  <c r="D159" i="10"/>
  <c r="A160" i="10"/>
  <c r="B160" i="10"/>
  <c r="C160" i="10"/>
  <c r="D160" i="10"/>
  <c r="A161" i="10"/>
  <c r="B161" i="10"/>
  <c r="C161" i="10"/>
  <c r="D161" i="10"/>
  <c r="A162" i="10"/>
  <c r="B162" i="10"/>
  <c r="C162" i="10"/>
  <c r="D162" i="10"/>
  <c r="A163" i="10"/>
  <c r="B163" i="10"/>
  <c r="C163" i="10"/>
  <c r="D163" i="10"/>
  <c r="A164" i="10"/>
  <c r="B164" i="10"/>
  <c r="C164" i="10"/>
  <c r="D164" i="10"/>
  <c r="A165" i="10"/>
  <c r="B165" i="10"/>
  <c r="C165" i="10"/>
  <c r="D165" i="10"/>
  <c r="A166" i="10"/>
  <c r="B166" i="10"/>
  <c r="C166" i="10"/>
  <c r="D166" i="10"/>
  <c r="A167" i="10"/>
  <c r="B167" i="10"/>
  <c r="C167" i="10"/>
  <c r="D167" i="10"/>
  <c r="A168" i="10"/>
  <c r="B168" i="10"/>
  <c r="C168" i="10"/>
  <c r="D168" i="10"/>
  <c r="A169" i="10"/>
  <c r="B169" i="10"/>
  <c r="C169" i="10"/>
  <c r="D169" i="10"/>
  <c r="A170" i="10"/>
  <c r="B170" i="10"/>
  <c r="C170" i="10"/>
  <c r="D170" i="10"/>
  <c r="A171" i="10"/>
  <c r="B171" i="10"/>
  <c r="C171" i="10"/>
  <c r="D171" i="10"/>
  <c r="A172" i="10"/>
  <c r="B172" i="10"/>
  <c r="C172" i="10"/>
  <c r="D172" i="10"/>
  <c r="A173" i="10"/>
  <c r="B173" i="10"/>
  <c r="C173" i="10"/>
  <c r="D173" i="10"/>
  <c r="A174" i="10"/>
  <c r="B174" i="10"/>
  <c r="C174" i="10"/>
  <c r="D174" i="10"/>
  <c r="A175" i="10"/>
  <c r="B175" i="10"/>
  <c r="C175" i="10"/>
  <c r="D175" i="10"/>
  <c r="A176" i="10"/>
  <c r="B176" i="10"/>
  <c r="C176" i="10"/>
  <c r="D176" i="10"/>
  <c r="A177" i="10"/>
  <c r="B177" i="10"/>
  <c r="C177" i="10"/>
  <c r="D177" i="10"/>
  <c r="A178" i="10"/>
  <c r="B178" i="10"/>
  <c r="C178" i="10"/>
  <c r="D178" i="10"/>
  <c r="A179" i="10"/>
  <c r="B179" i="10"/>
  <c r="C179" i="10"/>
  <c r="D179" i="10"/>
  <c r="A180" i="10"/>
  <c r="B180" i="10"/>
  <c r="C180" i="10"/>
  <c r="D180" i="10"/>
  <c r="A181" i="10"/>
  <c r="B181" i="10"/>
  <c r="C181" i="10"/>
  <c r="D181" i="10"/>
  <c r="A182" i="10"/>
  <c r="B182" i="10"/>
  <c r="C182" i="10"/>
  <c r="D182" i="10"/>
  <c r="A183" i="10"/>
  <c r="B183" i="10"/>
  <c r="C183" i="10"/>
  <c r="D183" i="10"/>
  <c r="A184" i="10"/>
  <c r="B184" i="10"/>
  <c r="C184" i="10"/>
  <c r="D184" i="10"/>
  <c r="A185" i="10"/>
  <c r="B185" i="10"/>
  <c r="C185" i="10"/>
  <c r="D185" i="10"/>
  <c r="A186" i="10"/>
  <c r="B186" i="10"/>
  <c r="C186" i="10"/>
  <c r="D186" i="10"/>
  <c r="A187" i="10"/>
  <c r="B187" i="10"/>
  <c r="C187" i="10"/>
  <c r="D187" i="10"/>
  <c r="A188" i="10"/>
  <c r="B188" i="10"/>
  <c r="C188" i="10"/>
  <c r="D188" i="10"/>
  <c r="A189" i="10"/>
  <c r="B189" i="10"/>
  <c r="C189" i="10"/>
  <c r="D189" i="10"/>
  <c r="A190" i="10"/>
  <c r="B190" i="10"/>
  <c r="C190" i="10"/>
  <c r="D190" i="10"/>
  <c r="A191" i="10"/>
  <c r="B191" i="10"/>
  <c r="C191" i="10"/>
  <c r="D191" i="10"/>
  <c r="A192" i="10"/>
  <c r="B192" i="10"/>
  <c r="C192" i="10"/>
  <c r="D192" i="10"/>
  <c r="A193" i="10"/>
  <c r="B193" i="10"/>
  <c r="C193" i="10"/>
  <c r="D193" i="10"/>
  <c r="A194" i="10"/>
  <c r="B194" i="10"/>
  <c r="C194" i="10"/>
  <c r="D194" i="10"/>
  <c r="A195" i="10"/>
  <c r="B195" i="10"/>
  <c r="C195" i="10"/>
  <c r="D195" i="10"/>
  <c r="A196" i="10"/>
  <c r="B196" i="10"/>
  <c r="C196" i="10"/>
  <c r="D196" i="10"/>
  <c r="A197" i="10"/>
  <c r="B197" i="10"/>
  <c r="C197" i="10"/>
  <c r="D197" i="10"/>
  <c r="A198" i="10"/>
  <c r="B198" i="10"/>
  <c r="C198" i="10"/>
  <c r="D198" i="10"/>
  <c r="A199" i="10"/>
  <c r="B199" i="10"/>
  <c r="C199" i="10"/>
  <c r="D199" i="10"/>
  <c r="A200" i="10"/>
  <c r="B200" i="10"/>
  <c r="C200" i="10"/>
  <c r="D200" i="10"/>
  <c r="A201" i="10"/>
  <c r="B201" i="10"/>
  <c r="C201" i="10"/>
  <c r="D201" i="10"/>
  <c r="A202" i="10"/>
  <c r="B202" i="10"/>
  <c r="C202" i="10"/>
  <c r="D202" i="10"/>
  <c r="A203" i="10"/>
  <c r="B203" i="10"/>
  <c r="C203" i="10"/>
  <c r="D203" i="10"/>
  <c r="A204" i="10"/>
  <c r="B204" i="10"/>
  <c r="C204" i="10"/>
  <c r="D204" i="10"/>
  <c r="A205" i="10"/>
  <c r="B205" i="10"/>
  <c r="C205" i="10"/>
  <c r="D205" i="10"/>
  <c r="A206" i="10"/>
  <c r="B206" i="10"/>
  <c r="C206" i="10"/>
  <c r="D206" i="10"/>
  <c r="A207" i="10"/>
  <c r="B207" i="10"/>
  <c r="C207" i="10"/>
  <c r="D207" i="10"/>
  <c r="A208" i="10"/>
  <c r="B208" i="10"/>
  <c r="C208" i="10"/>
  <c r="D208" i="10"/>
  <c r="A209" i="10"/>
  <c r="B209" i="10"/>
  <c r="C209" i="10"/>
  <c r="D209" i="10"/>
  <c r="A210" i="10"/>
  <c r="B210" i="10"/>
  <c r="C210" i="10"/>
  <c r="D210" i="10"/>
  <c r="A211" i="10"/>
  <c r="B211" i="10"/>
  <c r="C211" i="10"/>
  <c r="D211" i="10"/>
  <c r="A212" i="10"/>
  <c r="B212" i="10"/>
  <c r="C212" i="10"/>
  <c r="D212" i="10"/>
  <c r="A213" i="10"/>
  <c r="B213" i="10"/>
  <c r="C213" i="10"/>
  <c r="D213" i="10"/>
  <c r="A214" i="10"/>
  <c r="B214" i="10"/>
  <c r="C214" i="10"/>
  <c r="D214" i="10"/>
  <c r="A215" i="10"/>
  <c r="B215" i="10"/>
  <c r="C215" i="10"/>
  <c r="D215" i="10"/>
  <c r="A216" i="10"/>
  <c r="B216" i="10"/>
  <c r="C216" i="10"/>
  <c r="D216" i="10"/>
  <c r="A217" i="10"/>
  <c r="B217" i="10"/>
  <c r="C217" i="10"/>
  <c r="D217" i="10"/>
  <c r="A218" i="10"/>
  <c r="B218" i="10"/>
  <c r="C218" i="10"/>
  <c r="D218" i="10"/>
  <c r="A219" i="10"/>
  <c r="B219" i="10"/>
  <c r="C219" i="10"/>
  <c r="D219" i="10"/>
  <c r="A220" i="10"/>
  <c r="B220" i="10"/>
  <c r="C220" i="10"/>
  <c r="D220" i="10"/>
  <c r="A221" i="10"/>
  <c r="B221" i="10"/>
  <c r="C221" i="10"/>
  <c r="D221" i="10"/>
  <c r="A222" i="10"/>
  <c r="B222" i="10"/>
  <c r="C222" i="10"/>
  <c r="D222" i="10"/>
  <c r="A223" i="10"/>
  <c r="B223" i="10"/>
  <c r="C223" i="10"/>
  <c r="D223" i="10"/>
  <c r="A224" i="10"/>
  <c r="B224" i="10"/>
  <c r="C224" i="10"/>
  <c r="D224" i="10"/>
  <c r="A225" i="10"/>
  <c r="B225" i="10"/>
  <c r="C225" i="10"/>
  <c r="D225" i="10"/>
  <c r="A226" i="10"/>
  <c r="B226" i="10"/>
  <c r="C226" i="10"/>
  <c r="D226" i="10"/>
  <c r="A227" i="10"/>
  <c r="B227" i="10"/>
  <c r="C227" i="10"/>
  <c r="D227" i="10"/>
  <c r="A228" i="10"/>
  <c r="B228" i="10"/>
  <c r="C228" i="10"/>
  <c r="D228" i="10"/>
  <c r="A229" i="10"/>
  <c r="B229" i="10"/>
  <c r="C229" i="10"/>
  <c r="D229" i="10"/>
  <c r="A230" i="10"/>
  <c r="B230" i="10"/>
  <c r="C230" i="10"/>
  <c r="D230" i="10"/>
  <c r="A231" i="10"/>
  <c r="B231" i="10"/>
  <c r="C231" i="10"/>
  <c r="D231" i="10"/>
  <c r="A232" i="10"/>
  <c r="B232" i="10"/>
  <c r="C232" i="10"/>
  <c r="D232" i="10"/>
  <c r="A233" i="10"/>
  <c r="B233" i="10"/>
  <c r="C233" i="10"/>
  <c r="D233" i="10"/>
  <c r="A234" i="10"/>
  <c r="B234" i="10"/>
  <c r="C234" i="10"/>
  <c r="D234" i="10"/>
  <c r="A235" i="10"/>
  <c r="B235" i="10"/>
  <c r="C235" i="10"/>
  <c r="D235" i="10"/>
  <c r="A236" i="10"/>
  <c r="B236" i="10"/>
  <c r="C236" i="10"/>
  <c r="D236" i="10"/>
  <c r="A237" i="10"/>
  <c r="B237" i="10"/>
  <c r="C237" i="10"/>
  <c r="D237" i="10"/>
  <c r="A238" i="10"/>
  <c r="B238" i="10"/>
  <c r="C238" i="10"/>
  <c r="D238" i="10"/>
  <c r="A239" i="10"/>
  <c r="B239" i="10"/>
  <c r="C239" i="10"/>
  <c r="D239" i="10"/>
  <c r="A240" i="10"/>
  <c r="B240" i="10"/>
  <c r="C240" i="10"/>
  <c r="D240" i="10"/>
  <c r="A241" i="10"/>
  <c r="B241" i="10"/>
  <c r="C241" i="10"/>
  <c r="D241" i="10"/>
  <c r="A242" i="10"/>
  <c r="B242" i="10"/>
  <c r="C242" i="10"/>
  <c r="D242" i="10"/>
  <c r="A243" i="10"/>
  <c r="B243" i="10"/>
  <c r="C243" i="10"/>
  <c r="D243" i="10"/>
  <c r="A244" i="10"/>
  <c r="B244" i="10"/>
  <c r="C244" i="10"/>
  <c r="D244" i="10"/>
  <c r="A245" i="10"/>
  <c r="B245" i="10"/>
  <c r="C245" i="10"/>
  <c r="D245" i="10"/>
  <c r="A246" i="10"/>
  <c r="B246" i="10"/>
  <c r="C246" i="10"/>
  <c r="D246" i="10"/>
  <c r="A247" i="10"/>
  <c r="B247" i="10"/>
  <c r="C247" i="10"/>
  <c r="D247" i="10"/>
  <c r="A248" i="10"/>
  <c r="B248" i="10"/>
  <c r="C248" i="10"/>
  <c r="D248" i="10"/>
  <c r="A249" i="10"/>
  <c r="B249" i="10"/>
  <c r="C249" i="10"/>
  <c r="D249" i="10"/>
  <c r="A250" i="10"/>
  <c r="B250" i="10"/>
  <c r="C250" i="10"/>
  <c r="D250" i="10"/>
  <c r="A251" i="10"/>
  <c r="B251" i="10"/>
  <c r="C251" i="10"/>
  <c r="D251" i="10"/>
  <c r="A252" i="10"/>
  <c r="B252" i="10"/>
  <c r="C252" i="10"/>
  <c r="D252" i="10"/>
  <c r="A253" i="10"/>
  <c r="B253" i="10"/>
  <c r="C253" i="10"/>
  <c r="D253" i="10"/>
  <c r="A254" i="10"/>
  <c r="B254" i="10"/>
  <c r="C254" i="10"/>
  <c r="D254" i="10"/>
  <c r="A255" i="10"/>
  <c r="B255" i="10"/>
  <c r="C255" i="10"/>
  <c r="D255" i="10"/>
  <c r="A256" i="10"/>
  <c r="B256" i="10"/>
  <c r="C256" i="10"/>
  <c r="D256" i="10"/>
  <c r="A257" i="10"/>
  <c r="B257" i="10"/>
  <c r="C257" i="10"/>
  <c r="D257" i="10"/>
  <c r="A258" i="10"/>
  <c r="B258" i="10"/>
  <c r="C258" i="10"/>
  <c r="D258" i="10"/>
  <c r="A259" i="10"/>
  <c r="B259" i="10"/>
  <c r="C259" i="10"/>
  <c r="D259" i="10"/>
  <c r="A260" i="10"/>
  <c r="B260" i="10"/>
  <c r="C260" i="10"/>
  <c r="D260" i="10"/>
  <c r="A261" i="10"/>
  <c r="B261" i="10"/>
  <c r="C261" i="10"/>
  <c r="D261" i="10"/>
  <c r="A262" i="10"/>
  <c r="B262" i="10"/>
  <c r="C262" i="10"/>
  <c r="D262" i="10"/>
  <c r="A263" i="10"/>
  <c r="B263" i="10"/>
  <c r="C263" i="10"/>
  <c r="D263" i="10"/>
  <c r="A264" i="10"/>
  <c r="B264" i="10"/>
  <c r="C264" i="10"/>
  <c r="D264" i="10"/>
  <c r="A265" i="10"/>
  <c r="B265" i="10"/>
  <c r="C265" i="10"/>
  <c r="D265" i="10"/>
  <c r="A266" i="10"/>
  <c r="B266" i="10"/>
  <c r="C266" i="10"/>
  <c r="D266" i="10"/>
  <c r="A267" i="10"/>
  <c r="B267" i="10"/>
  <c r="C267" i="10"/>
  <c r="D267" i="10"/>
  <c r="A268" i="10"/>
  <c r="B268" i="10"/>
  <c r="C268" i="10"/>
  <c r="D268" i="10"/>
  <c r="A269" i="10"/>
  <c r="B269" i="10"/>
  <c r="C269" i="10"/>
  <c r="D269" i="10"/>
  <c r="A270" i="10"/>
  <c r="B270" i="10"/>
  <c r="C270" i="10"/>
  <c r="D270" i="10"/>
  <c r="A271" i="10"/>
  <c r="B271" i="10"/>
  <c r="C271" i="10"/>
  <c r="D271" i="10"/>
  <c r="A272" i="10"/>
  <c r="B272" i="10"/>
  <c r="C272" i="10"/>
  <c r="D272" i="10"/>
  <c r="A273" i="10"/>
  <c r="B273" i="10"/>
  <c r="C273" i="10"/>
  <c r="D273" i="10"/>
  <c r="A274" i="10"/>
  <c r="B274" i="10"/>
  <c r="C274" i="10"/>
  <c r="D274" i="10"/>
  <c r="A275" i="10"/>
  <c r="B275" i="10"/>
  <c r="C275" i="10"/>
  <c r="D275" i="10"/>
  <c r="A276" i="10"/>
  <c r="B276" i="10"/>
  <c r="C276" i="10"/>
  <c r="D276" i="10"/>
  <c r="A277" i="10"/>
  <c r="B277" i="10"/>
  <c r="C277" i="10"/>
  <c r="D277" i="10"/>
  <c r="A278" i="10"/>
  <c r="B278" i="10"/>
  <c r="C278" i="10"/>
  <c r="D278" i="10"/>
  <c r="A279" i="10"/>
  <c r="B279" i="10"/>
  <c r="C279" i="10"/>
  <c r="D279" i="10"/>
  <c r="A280" i="10"/>
  <c r="B280" i="10"/>
  <c r="C280" i="10"/>
  <c r="D280" i="10"/>
  <c r="A281" i="10"/>
  <c r="B281" i="10"/>
  <c r="C281" i="10"/>
  <c r="D281" i="10"/>
  <c r="A282" i="10"/>
  <c r="B282" i="10"/>
  <c r="C282" i="10"/>
  <c r="D282" i="10"/>
  <c r="A283" i="10"/>
  <c r="B283" i="10"/>
  <c r="C283" i="10"/>
  <c r="D283" i="10"/>
  <c r="A284" i="10"/>
  <c r="B284" i="10"/>
  <c r="C284" i="10"/>
  <c r="D284" i="10"/>
  <c r="A285" i="10"/>
  <c r="B285" i="10"/>
  <c r="C285" i="10"/>
  <c r="D285" i="10"/>
  <c r="A286" i="10"/>
  <c r="B286" i="10"/>
  <c r="C286" i="10"/>
  <c r="D286" i="10"/>
  <c r="A287" i="10"/>
  <c r="B287" i="10"/>
  <c r="C287" i="10"/>
  <c r="D287" i="10"/>
  <c r="A288" i="10"/>
  <c r="B288" i="10"/>
  <c r="C288" i="10"/>
  <c r="D288" i="10"/>
  <c r="A289" i="10"/>
  <c r="B289" i="10"/>
  <c r="C289" i="10"/>
  <c r="D289" i="10"/>
  <c r="A290" i="10"/>
  <c r="B290" i="10"/>
  <c r="C290" i="10"/>
  <c r="D290" i="10"/>
  <c r="A291" i="10"/>
  <c r="B291" i="10"/>
  <c r="C291" i="10"/>
  <c r="D291" i="10"/>
  <c r="A292" i="10"/>
  <c r="B292" i="10"/>
  <c r="C292" i="10"/>
  <c r="D292" i="10"/>
  <c r="A293" i="10"/>
  <c r="B293" i="10"/>
  <c r="C293" i="10"/>
  <c r="D293" i="10"/>
  <c r="A294" i="10"/>
  <c r="B294" i="10"/>
  <c r="C294" i="10"/>
  <c r="D294" i="10"/>
  <c r="A295" i="10"/>
  <c r="B295" i="10"/>
  <c r="C295" i="10"/>
  <c r="D295" i="10"/>
  <c r="A296" i="10"/>
  <c r="B296" i="10"/>
  <c r="C296" i="10"/>
  <c r="D296" i="10"/>
  <c r="A297" i="10"/>
  <c r="B297" i="10"/>
  <c r="C297" i="10"/>
  <c r="D297" i="10"/>
  <c r="A298" i="10"/>
  <c r="B298" i="10"/>
  <c r="C298" i="10"/>
  <c r="D298" i="10"/>
  <c r="A299" i="10"/>
  <c r="B299" i="10"/>
  <c r="C299" i="10"/>
  <c r="D299" i="10"/>
  <c r="A300" i="10"/>
  <c r="B300" i="10"/>
  <c r="C300" i="10"/>
  <c r="D300" i="10"/>
  <c r="A301" i="10"/>
  <c r="B301" i="10"/>
  <c r="C301" i="10"/>
  <c r="D301" i="10"/>
  <c r="A302" i="10"/>
  <c r="B302" i="10"/>
  <c r="C302" i="10"/>
  <c r="D302" i="10"/>
  <c r="A303" i="10"/>
  <c r="B303" i="10"/>
  <c r="C303" i="10"/>
  <c r="D303" i="10"/>
  <c r="A304" i="10"/>
  <c r="B304" i="10"/>
  <c r="C304" i="10"/>
  <c r="D304" i="10"/>
  <c r="A305" i="10"/>
  <c r="B305" i="10"/>
  <c r="C305" i="10"/>
  <c r="D305" i="10"/>
  <c r="A306" i="10"/>
  <c r="B306" i="10"/>
  <c r="C306" i="10"/>
  <c r="D306" i="10"/>
  <c r="A307" i="10"/>
  <c r="B307" i="10"/>
  <c r="C307" i="10"/>
  <c r="D307" i="10"/>
  <c r="A308" i="10"/>
  <c r="B308" i="10"/>
  <c r="C308" i="10"/>
  <c r="D308" i="10"/>
  <c r="A309" i="10"/>
  <c r="B309" i="10"/>
  <c r="C309" i="10"/>
  <c r="D309" i="10"/>
  <c r="A310" i="10"/>
  <c r="B310" i="10"/>
  <c r="C310" i="10"/>
  <c r="D310" i="10"/>
  <c r="A311" i="10"/>
  <c r="B311" i="10"/>
  <c r="C311" i="10"/>
  <c r="D311" i="10"/>
  <c r="A312" i="10"/>
  <c r="B312" i="10"/>
  <c r="C312" i="10"/>
  <c r="D312" i="10"/>
  <c r="A313" i="10"/>
  <c r="B313" i="10"/>
  <c r="C313" i="10"/>
  <c r="D313" i="10"/>
  <c r="A314" i="10"/>
  <c r="B314" i="10"/>
  <c r="C314" i="10"/>
  <c r="D314" i="10"/>
  <c r="A315" i="10"/>
  <c r="B315" i="10"/>
  <c r="C315" i="10"/>
  <c r="D315" i="10"/>
  <c r="A316" i="10"/>
  <c r="B316" i="10"/>
  <c r="C316" i="10"/>
  <c r="D316" i="10"/>
  <c r="A317" i="10"/>
  <c r="B317" i="10"/>
  <c r="C317" i="10"/>
  <c r="D317" i="10"/>
  <c r="A318" i="10"/>
  <c r="B318" i="10"/>
  <c r="C318" i="10"/>
  <c r="D318" i="10"/>
  <c r="A319" i="10"/>
  <c r="B319" i="10"/>
  <c r="C319" i="10"/>
  <c r="D319" i="10"/>
  <c r="A320" i="10"/>
  <c r="B320" i="10"/>
  <c r="C320" i="10"/>
  <c r="D320" i="10"/>
  <c r="A321" i="10"/>
  <c r="B321" i="10"/>
  <c r="C321" i="10"/>
  <c r="D321" i="10"/>
  <c r="A322" i="10"/>
  <c r="B322" i="10"/>
  <c r="C322" i="10"/>
  <c r="D322" i="10"/>
  <c r="A323" i="10"/>
  <c r="B323" i="10"/>
  <c r="C323" i="10"/>
  <c r="D323" i="10"/>
  <c r="A324" i="10"/>
  <c r="B324" i="10"/>
  <c r="C324" i="10"/>
  <c r="D324" i="10"/>
  <c r="A325" i="10"/>
  <c r="B325" i="10"/>
  <c r="C325" i="10"/>
  <c r="D325" i="10"/>
  <c r="A326" i="10"/>
  <c r="B326" i="10"/>
  <c r="C326" i="10"/>
  <c r="D326" i="10"/>
  <c r="A327" i="10"/>
  <c r="B327" i="10"/>
  <c r="C327" i="10"/>
  <c r="D327" i="10"/>
  <c r="A328" i="10"/>
  <c r="B328" i="10"/>
  <c r="C328" i="10"/>
  <c r="D328" i="10"/>
  <c r="A329" i="10"/>
  <c r="B329" i="10"/>
  <c r="C329" i="10"/>
  <c r="D329" i="10"/>
  <c r="A330" i="10"/>
  <c r="B330" i="10"/>
  <c r="C330" i="10"/>
  <c r="D330" i="10"/>
  <c r="A331" i="10"/>
  <c r="B331" i="10"/>
  <c r="C331" i="10"/>
  <c r="D331" i="10"/>
  <c r="A332" i="10"/>
  <c r="B332" i="10"/>
  <c r="C332" i="10"/>
  <c r="D332" i="10"/>
  <c r="A333" i="10"/>
  <c r="B333" i="10"/>
  <c r="C333" i="10"/>
  <c r="D333" i="10"/>
  <c r="A334" i="10"/>
  <c r="B334" i="10"/>
  <c r="C334" i="10"/>
  <c r="D334" i="10"/>
  <c r="A335" i="10"/>
  <c r="B335" i="10"/>
  <c r="C335" i="10"/>
  <c r="D335" i="10"/>
  <c r="A336" i="10"/>
  <c r="B336" i="10"/>
  <c r="C336" i="10"/>
  <c r="D336" i="10"/>
  <c r="A337" i="10"/>
  <c r="B337" i="10"/>
  <c r="C337" i="10"/>
  <c r="D337" i="10"/>
  <c r="A338" i="10"/>
  <c r="B338" i="10"/>
  <c r="C338" i="10"/>
  <c r="D338" i="10"/>
  <c r="A339" i="10"/>
  <c r="B339" i="10"/>
  <c r="C339" i="10"/>
  <c r="D339" i="10"/>
  <c r="A340" i="10"/>
  <c r="B340" i="10"/>
  <c r="C340" i="10"/>
  <c r="D340" i="10"/>
  <c r="A341" i="10"/>
  <c r="B341" i="10"/>
  <c r="C341" i="10"/>
  <c r="D341" i="10"/>
  <c r="A342" i="10"/>
  <c r="B342" i="10"/>
  <c r="C342" i="10"/>
  <c r="D342" i="10"/>
  <c r="A343" i="10"/>
  <c r="B343" i="10"/>
  <c r="C343" i="10"/>
  <c r="D343" i="10"/>
  <c r="A344" i="10"/>
  <c r="B344" i="10"/>
  <c r="C344" i="10"/>
  <c r="D344" i="10"/>
  <c r="A345" i="10"/>
  <c r="B345" i="10"/>
  <c r="C345" i="10"/>
  <c r="D345" i="10"/>
  <c r="A346" i="10"/>
  <c r="B346" i="10"/>
  <c r="C346" i="10"/>
  <c r="D346" i="10"/>
  <c r="A347" i="10"/>
  <c r="B347" i="10"/>
  <c r="C347" i="10"/>
  <c r="D347" i="10"/>
  <c r="A348" i="10"/>
  <c r="B348" i="10"/>
  <c r="C348" i="10"/>
  <c r="D348" i="10"/>
  <c r="A349" i="10"/>
  <c r="B349" i="10"/>
  <c r="C349" i="10"/>
  <c r="D349" i="10"/>
  <c r="A350" i="10"/>
  <c r="B350" i="10"/>
  <c r="C350" i="10"/>
  <c r="D350" i="10"/>
  <c r="A351" i="10"/>
  <c r="B351" i="10"/>
  <c r="C351" i="10"/>
  <c r="D351" i="10"/>
  <c r="A352" i="10"/>
  <c r="B352" i="10"/>
  <c r="C352" i="10"/>
  <c r="D352" i="10"/>
  <c r="A353" i="10"/>
  <c r="B353" i="10"/>
  <c r="C353" i="10"/>
  <c r="D353" i="10"/>
  <c r="A354" i="10"/>
  <c r="B354" i="10"/>
  <c r="C354" i="10"/>
  <c r="D354" i="10"/>
  <c r="A355" i="10"/>
  <c r="B355" i="10"/>
  <c r="C355" i="10"/>
  <c r="D355" i="10"/>
  <c r="A356" i="10"/>
  <c r="B356" i="10"/>
  <c r="C356" i="10"/>
  <c r="D356" i="10"/>
  <c r="A357" i="10"/>
  <c r="B357" i="10"/>
  <c r="C357" i="10"/>
  <c r="D357" i="10"/>
  <c r="A358" i="10"/>
  <c r="B358" i="10"/>
  <c r="C358" i="10"/>
  <c r="D358" i="10"/>
  <c r="A359" i="10"/>
  <c r="B359" i="10"/>
  <c r="C359" i="10"/>
  <c r="D359" i="10"/>
  <c r="A360" i="10"/>
  <c r="B360" i="10"/>
  <c r="C360" i="10"/>
  <c r="D360" i="10"/>
  <c r="A361" i="10"/>
  <c r="B361" i="10"/>
  <c r="C361" i="10"/>
  <c r="D361" i="10"/>
  <c r="A362" i="10"/>
  <c r="B362" i="10"/>
  <c r="C362" i="10"/>
  <c r="D362" i="10"/>
  <c r="A363" i="10"/>
  <c r="B363" i="10"/>
  <c r="C363" i="10"/>
  <c r="D363" i="10"/>
  <c r="A364" i="10"/>
  <c r="B364" i="10"/>
  <c r="C364" i="10"/>
  <c r="D364" i="10"/>
  <c r="A365" i="10"/>
  <c r="B365" i="10"/>
  <c r="C365" i="10"/>
  <c r="D365" i="10"/>
  <c r="A366" i="10"/>
  <c r="B366" i="10"/>
  <c r="C366" i="10"/>
  <c r="D366" i="10"/>
  <c r="A367" i="10"/>
  <c r="B367" i="10"/>
  <c r="C367" i="10"/>
  <c r="D367" i="10"/>
  <c r="A368" i="10"/>
  <c r="B368" i="10"/>
  <c r="C368" i="10"/>
  <c r="D368" i="10"/>
  <c r="A369" i="10"/>
  <c r="B369" i="10"/>
  <c r="C369" i="10"/>
  <c r="D369" i="10"/>
  <c r="A370" i="10"/>
  <c r="B370" i="10"/>
  <c r="C370" i="10"/>
  <c r="D370" i="10"/>
  <c r="A371" i="10"/>
  <c r="B371" i="10"/>
  <c r="C371" i="10"/>
  <c r="D371" i="10"/>
  <c r="A372" i="10"/>
  <c r="B372" i="10"/>
  <c r="C372" i="10"/>
  <c r="D372" i="10"/>
  <c r="A373" i="10"/>
  <c r="B373" i="10"/>
  <c r="C373" i="10"/>
  <c r="D373" i="10"/>
  <c r="A374" i="10"/>
  <c r="B374" i="10"/>
  <c r="C374" i="10"/>
  <c r="D374" i="10"/>
  <c r="A375" i="10"/>
  <c r="B375" i="10"/>
  <c r="C375" i="10"/>
  <c r="D375" i="10"/>
  <c r="A376" i="10"/>
  <c r="B376" i="10"/>
  <c r="C376" i="10"/>
  <c r="D376" i="10"/>
  <c r="A377" i="10"/>
  <c r="B377" i="10"/>
  <c r="C377" i="10"/>
  <c r="D377" i="10"/>
  <c r="A378" i="10"/>
  <c r="B378" i="10"/>
  <c r="C378" i="10"/>
  <c r="D378" i="10"/>
  <c r="A379" i="10"/>
  <c r="B379" i="10"/>
  <c r="C379" i="10"/>
  <c r="D379" i="10"/>
  <c r="A380" i="10"/>
  <c r="B380" i="10"/>
  <c r="C380" i="10"/>
  <c r="D380" i="10"/>
  <c r="A381" i="10"/>
  <c r="B381" i="10"/>
  <c r="C381" i="10"/>
  <c r="D381" i="10"/>
  <c r="A382" i="10"/>
  <c r="B382" i="10"/>
  <c r="C382" i="10"/>
  <c r="D382" i="10"/>
  <c r="A383" i="10"/>
  <c r="B383" i="10"/>
  <c r="C383" i="10"/>
  <c r="D383" i="10"/>
  <c r="A384" i="10"/>
  <c r="B384" i="10"/>
  <c r="C384" i="10"/>
  <c r="D384" i="10"/>
  <c r="A385" i="10"/>
  <c r="B385" i="10"/>
  <c r="C385" i="10"/>
  <c r="D385" i="10"/>
  <c r="A386" i="10"/>
  <c r="B386" i="10"/>
  <c r="C386" i="10"/>
  <c r="D386" i="10"/>
  <c r="A387" i="10"/>
  <c r="B387" i="10"/>
  <c r="C387" i="10"/>
  <c r="D387" i="10"/>
  <c r="A388" i="10"/>
  <c r="B388" i="10"/>
  <c r="C388" i="10"/>
  <c r="D388" i="10"/>
  <c r="A389" i="10"/>
  <c r="B389" i="10"/>
  <c r="C389" i="10"/>
  <c r="D389" i="10"/>
  <c r="A390" i="10"/>
  <c r="B390" i="10"/>
  <c r="C390" i="10"/>
  <c r="D390" i="10"/>
  <c r="A391" i="10"/>
  <c r="B391" i="10"/>
  <c r="C391" i="10"/>
  <c r="D391" i="10"/>
  <c r="A392" i="10"/>
  <c r="B392" i="10"/>
  <c r="C392" i="10"/>
  <c r="D392" i="10"/>
  <c r="A393" i="10"/>
  <c r="B393" i="10"/>
  <c r="C393" i="10"/>
  <c r="D393" i="10"/>
  <c r="A394" i="10"/>
  <c r="B394" i="10"/>
  <c r="C394" i="10"/>
  <c r="D394" i="10"/>
  <c r="A395" i="10"/>
  <c r="B395" i="10"/>
  <c r="C395" i="10"/>
  <c r="D395" i="10"/>
  <c r="A396" i="10"/>
  <c r="B396" i="10"/>
  <c r="C396" i="10"/>
  <c r="D396" i="10"/>
  <c r="A397" i="10"/>
  <c r="B397" i="10"/>
  <c r="C397" i="10"/>
  <c r="D397" i="10"/>
  <c r="A398" i="10"/>
  <c r="B398" i="10"/>
  <c r="C398" i="10"/>
  <c r="D398" i="10"/>
  <c r="A399" i="10"/>
  <c r="B399" i="10"/>
  <c r="C399" i="10"/>
  <c r="D399" i="10"/>
  <c r="A400" i="10"/>
  <c r="B400" i="10"/>
  <c r="C400" i="10"/>
  <c r="D400" i="10"/>
  <c r="A401" i="10"/>
  <c r="B401" i="10"/>
  <c r="C401" i="10"/>
  <c r="D401" i="10"/>
  <c r="A402" i="10"/>
  <c r="B402" i="10"/>
  <c r="C402" i="10"/>
  <c r="D402" i="10"/>
  <c r="A403" i="10"/>
  <c r="B403" i="10"/>
  <c r="C403" i="10"/>
  <c r="D403" i="10"/>
  <c r="A404" i="10"/>
  <c r="B404" i="10"/>
  <c r="C404" i="10"/>
  <c r="D404" i="10"/>
  <c r="A405" i="10"/>
  <c r="B405" i="10"/>
  <c r="C405" i="10"/>
  <c r="D405" i="10"/>
  <c r="A406" i="10"/>
  <c r="B406" i="10"/>
  <c r="C406" i="10"/>
  <c r="D406" i="10"/>
  <c r="A407" i="10"/>
  <c r="B407" i="10"/>
  <c r="C407" i="10"/>
  <c r="D407" i="10"/>
  <c r="A408" i="10"/>
  <c r="B408" i="10"/>
  <c r="C408" i="10"/>
  <c r="D408" i="10"/>
  <c r="A409" i="10"/>
  <c r="B409" i="10"/>
  <c r="C409" i="10"/>
  <c r="D409" i="10"/>
  <c r="A410" i="10"/>
  <c r="B410" i="10"/>
  <c r="C410" i="10"/>
  <c r="D410" i="10"/>
  <c r="A411" i="10"/>
  <c r="B411" i="10"/>
  <c r="C411" i="10"/>
  <c r="D411" i="10"/>
  <c r="A412" i="10"/>
  <c r="B412" i="10"/>
  <c r="C412" i="10"/>
  <c r="D412" i="10"/>
  <c r="A413" i="10"/>
  <c r="B413" i="10"/>
  <c r="C413" i="10"/>
  <c r="D413" i="10"/>
  <c r="A414" i="10"/>
  <c r="B414" i="10"/>
  <c r="C414" i="10"/>
  <c r="D414" i="10"/>
  <c r="A415" i="10"/>
  <c r="B415" i="10"/>
  <c r="C415" i="10"/>
  <c r="D415" i="10"/>
  <c r="A416" i="10"/>
  <c r="B416" i="10"/>
  <c r="C416" i="10"/>
  <c r="D416" i="10"/>
  <c r="A417" i="10"/>
  <c r="B417" i="10"/>
  <c r="C417" i="10"/>
  <c r="D417" i="10"/>
  <c r="A418" i="10"/>
  <c r="B418" i="10"/>
  <c r="C418" i="10"/>
  <c r="D418" i="10"/>
  <c r="A419" i="10"/>
  <c r="B419" i="10"/>
  <c r="C419" i="10"/>
  <c r="D419" i="10"/>
  <c r="A420" i="10"/>
  <c r="B420" i="10"/>
  <c r="C420" i="10"/>
  <c r="D420" i="10"/>
  <c r="A421" i="10"/>
  <c r="B421" i="10"/>
  <c r="C421" i="10"/>
  <c r="D421" i="10"/>
  <c r="A422" i="10"/>
  <c r="B422" i="10"/>
  <c r="C422" i="10"/>
  <c r="D422" i="10"/>
  <c r="A423" i="10"/>
  <c r="B423" i="10"/>
  <c r="C423" i="10"/>
  <c r="D423" i="10"/>
  <c r="A424" i="10"/>
  <c r="B424" i="10"/>
  <c r="C424" i="10"/>
  <c r="D424" i="10"/>
  <c r="A425" i="10"/>
  <c r="B425" i="10"/>
  <c r="C425" i="10"/>
  <c r="D425" i="10"/>
  <c r="A426" i="10"/>
  <c r="B426" i="10"/>
  <c r="C426" i="10"/>
  <c r="D426" i="10"/>
  <c r="A427" i="10"/>
  <c r="B427" i="10"/>
  <c r="C427" i="10"/>
  <c r="D427" i="10"/>
  <c r="A428" i="10"/>
  <c r="B428" i="10"/>
  <c r="C428" i="10"/>
  <c r="D428" i="10"/>
  <c r="A429" i="10"/>
  <c r="B429" i="10"/>
  <c r="C429" i="10"/>
  <c r="D429" i="10"/>
  <c r="A430" i="10"/>
  <c r="B430" i="10"/>
  <c r="C430" i="10"/>
  <c r="D430" i="10"/>
  <c r="A431" i="10"/>
  <c r="B431" i="10"/>
  <c r="C431" i="10"/>
  <c r="D431" i="10"/>
  <c r="A432" i="10"/>
  <c r="B432" i="10"/>
  <c r="C432" i="10"/>
  <c r="D432" i="10"/>
  <c r="A433" i="10"/>
  <c r="B433" i="10"/>
  <c r="C433" i="10"/>
  <c r="D433" i="10"/>
  <c r="A434" i="10"/>
  <c r="B434" i="10"/>
  <c r="C434" i="10"/>
  <c r="D434" i="10"/>
  <c r="A435" i="10"/>
  <c r="B435" i="10"/>
  <c r="C435" i="10"/>
  <c r="D435" i="10"/>
  <c r="A436" i="10"/>
  <c r="B436" i="10"/>
  <c r="C436" i="10"/>
  <c r="D436" i="10"/>
  <c r="A437" i="10"/>
  <c r="B437" i="10"/>
  <c r="C437" i="10"/>
  <c r="D437" i="10"/>
  <c r="A438" i="10"/>
  <c r="B438" i="10"/>
  <c r="C438" i="10"/>
  <c r="D438" i="10"/>
  <c r="A439" i="10"/>
  <c r="B439" i="10"/>
  <c r="C439" i="10"/>
  <c r="D439" i="10"/>
  <c r="A440" i="10"/>
  <c r="B440" i="10"/>
  <c r="C440" i="10"/>
  <c r="D440" i="10"/>
  <c r="A441" i="10"/>
  <c r="B441" i="10"/>
  <c r="C441" i="10"/>
  <c r="D441" i="10"/>
  <c r="A442" i="10"/>
  <c r="B442" i="10"/>
  <c r="C442" i="10"/>
  <c r="D442" i="10"/>
  <c r="A443" i="10"/>
  <c r="B443" i="10"/>
  <c r="C443" i="10"/>
  <c r="D443" i="10"/>
  <c r="A444" i="10"/>
  <c r="B444" i="10"/>
  <c r="C444" i="10"/>
  <c r="D444" i="10"/>
  <c r="A445" i="10"/>
  <c r="B445" i="10"/>
  <c r="C445" i="10"/>
  <c r="D445" i="10"/>
  <c r="A446" i="10"/>
  <c r="B446" i="10"/>
  <c r="C446" i="10"/>
  <c r="D446" i="10"/>
  <c r="A447" i="10"/>
  <c r="B447" i="10"/>
  <c r="C447" i="10"/>
  <c r="D447" i="10"/>
  <c r="A448" i="10"/>
  <c r="B448" i="10"/>
  <c r="C448" i="10"/>
  <c r="D448" i="10"/>
  <c r="A449" i="10"/>
  <c r="B449" i="10"/>
  <c r="C449" i="10"/>
  <c r="D449" i="10"/>
  <c r="A450" i="10"/>
  <c r="B450" i="10"/>
  <c r="C450" i="10"/>
  <c r="D450" i="10"/>
  <c r="A451" i="10"/>
  <c r="B451" i="10"/>
  <c r="C451" i="10"/>
  <c r="D451" i="10"/>
  <c r="A452" i="10"/>
  <c r="B452" i="10"/>
  <c r="C452" i="10"/>
  <c r="D452" i="10"/>
  <c r="A453" i="10"/>
  <c r="B453" i="10"/>
  <c r="C453" i="10"/>
  <c r="D453" i="10"/>
  <c r="A454" i="10"/>
  <c r="B454" i="10"/>
  <c r="C454" i="10"/>
  <c r="D454" i="10"/>
  <c r="A455" i="10"/>
  <c r="B455" i="10"/>
  <c r="C455" i="10"/>
  <c r="D455" i="10"/>
  <c r="A456" i="10"/>
  <c r="B456" i="10"/>
  <c r="C456" i="10"/>
  <c r="D456" i="10"/>
  <c r="A457" i="10"/>
  <c r="B457" i="10"/>
  <c r="C457" i="10"/>
  <c r="D457" i="10"/>
  <c r="A458" i="10"/>
  <c r="B458" i="10"/>
  <c r="C458" i="10"/>
  <c r="D458" i="10"/>
  <c r="A459" i="10"/>
  <c r="B459" i="10"/>
  <c r="C459" i="10"/>
  <c r="D459" i="10"/>
  <c r="A460" i="10"/>
  <c r="B460" i="10"/>
  <c r="C460" i="10"/>
  <c r="D460" i="10"/>
  <c r="A461" i="10"/>
  <c r="B461" i="10"/>
  <c r="C461" i="10"/>
  <c r="D461" i="10"/>
  <c r="A462" i="10"/>
  <c r="B462" i="10"/>
  <c r="C462" i="10"/>
  <c r="D462" i="10"/>
  <c r="A463" i="10"/>
  <c r="B463" i="10"/>
  <c r="C463" i="10"/>
  <c r="D463" i="10"/>
  <c r="A464" i="10"/>
  <c r="B464" i="10"/>
  <c r="C464" i="10"/>
  <c r="D464" i="10"/>
  <c r="A465" i="10"/>
  <c r="B465" i="10"/>
  <c r="C465" i="10"/>
  <c r="D465" i="10"/>
  <c r="A466" i="10"/>
  <c r="B466" i="10"/>
  <c r="C466" i="10"/>
  <c r="D466" i="10"/>
  <c r="A467" i="10"/>
  <c r="B467" i="10"/>
  <c r="C467" i="10"/>
  <c r="D467" i="10"/>
  <c r="A468" i="10"/>
  <c r="B468" i="10"/>
  <c r="C468" i="10"/>
  <c r="D468" i="10"/>
  <c r="A469" i="10"/>
  <c r="B469" i="10"/>
  <c r="C469" i="10"/>
  <c r="D469" i="10"/>
  <c r="A470" i="10"/>
  <c r="B470" i="10"/>
  <c r="C470" i="10"/>
  <c r="D470" i="10"/>
  <c r="A471" i="10"/>
  <c r="B471" i="10"/>
  <c r="C471" i="10"/>
  <c r="D471" i="10"/>
  <c r="A472" i="10"/>
  <c r="B472" i="10"/>
  <c r="C472" i="10"/>
  <c r="D472" i="10"/>
  <c r="A473" i="10"/>
  <c r="B473" i="10"/>
  <c r="C473" i="10"/>
  <c r="D473" i="10"/>
  <c r="A474" i="10"/>
  <c r="B474" i="10"/>
  <c r="C474" i="10"/>
  <c r="D474" i="10"/>
  <c r="A475" i="10"/>
  <c r="B475" i="10"/>
  <c r="C475" i="10"/>
  <c r="D475" i="10"/>
  <c r="A476" i="10"/>
  <c r="B476" i="10"/>
  <c r="C476" i="10"/>
  <c r="D476" i="10"/>
  <c r="A477" i="10"/>
  <c r="B477" i="10"/>
  <c r="C477" i="10"/>
  <c r="D477" i="10"/>
  <c r="A478" i="10"/>
  <c r="B478" i="10"/>
  <c r="C478" i="10"/>
  <c r="D478" i="10"/>
  <c r="A479" i="10"/>
  <c r="B479" i="10"/>
  <c r="C479" i="10"/>
  <c r="D479" i="10"/>
  <c r="A480" i="10"/>
  <c r="B480" i="10"/>
  <c r="C480" i="10"/>
  <c r="D480" i="10"/>
  <c r="A481" i="10"/>
  <c r="B481" i="10"/>
  <c r="C481" i="10"/>
  <c r="D481" i="10"/>
  <c r="A482" i="10"/>
  <c r="B482" i="10"/>
  <c r="C482" i="10"/>
  <c r="D482" i="10"/>
  <c r="A483" i="10"/>
  <c r="B483" i="10"/>
  <c r="C483" i="10"/>
  <c r="D483" i="10"/>
  <c r="A484" i="10"/>
  <c r="B484" i="10"/>
  <c r="C484" i="10"/>
  <c r="D484" i="10"/>
  <c r="A485" i="10"/>
  <c r="B485" i="10"/>
  <c r="C485" i="10"/>
  <c r="D485" i="10"/>
  <c r="A486" i="10"/>
  <c r="B486" i="10"/>
  <c r="C486" i="10"/>
  <c r="D486" i="10"/>
  <c r="A487" i="10"/>
  <c r="B487" i="10"/>
  <c r="C487" i="10"/>
  <c r="D487" i="10"/>
  <c r="A488" i="10"/>
  <c r="B488" i="10"/>
  <c r="C488" i="10"/>
  <c r="D488" i="10"/>
  <c r="A489" i="10"/>
  <c r="B489" i="10"/>
  <c r="C489" i="10"/>
  <c r="D489" i="10"/>
  <c r="A490" i="10"/>
  <c r="B490" i="10"/>
  <c r="C490" i="10"/>
  <c r="D490" i="10"/>
  <c r="A491" i="10"/>
  <c r="B491" i="10"/>
  <c r="C491" i="10"/>
  <c r="D491" i="10"/>
  <c r="A492" i="10"/>
  <c r="B492" i="10"/>
  <c r="C492" i="10"/>
  <c r="D492" i="10"/>
  <c r="A493" i="10"/>
  <c r="B493" i="10"/>
  <c r="C493" i="10"/>
  <c r="D493" i="10"/>
  <c r="A494" i="10"/>
  <c r="B494" i="10"/>
  <c r="C494" i="10"/>
  <c r="D494" i="10"/>
  <c r="A495" i="10"/>
  <c r="B495" i="10"/>
  <c r="C495" i="10"/>
  <c r="D495" i="10"/>
  <c r="A496" i="10"/>
  <c r="B496" i="10"/>
  <c r="C496" i="10"/>
  <c r="D496" i="10"/>
  <c r="A497" i="10"/>
  <c r="B497" i="10"/>
  <c r="C497" i="10"/>
  <c r="D497" i="10"/>
  <c r="A498" i="10"/>
  <c r="B498" i="10"/>
  <c r="C498" i="10"/>
  <c r="D498" i="10"/>
  <c r="A499" i="10"/>
  <c r="B499" i="10"/>
  <c r="C499" i="10"/>
  <c r="D499" i="10"/>
  <c r="A500" i="10"/>
  <c r="B500" i="10"/>
  <c r="C500" i="10"/>
  <c r="D500" i="10"/>
  <c r="A501" i="10"/>
  <c r="B501" i="10"/>
  <c r="C501" i="10"/>
  <c r="D501" i="10"/>
  <c r="A502" i="10"/>
  <c r="B502" i="10"/>
  <c r="C502" i="10"/>
  <c r="D502" i="10"/>
  <c r="A503" i="10"/>
  <c r="B503" i="10"/>
  <c r="C503" i="10"/>
  <c r="D503" i="10"/>
  <c r="A504" i="10"/>
  <c r="B504" i="10"/>
  <c r="C504" i="10"/>
  <c r="D504" i="10"/>
  <c r="A505" i="10"/>
  <c r="B505" i="10"/>
  <c r="C505" i="10"/>
  <c r="D505" i="10"/>
  <c r="A506" i="10"/>
  <c r="B506" i="10"/>
  <c r="C506" i="10"/>
  <c r="D506" i="10"/>
  <c r="A507" i="10"/>
  <c r="B507" i="10"/>
  <c r="C507" i="10"/>
  <c r="D507" i="10"/>
  <c r="A508" i="10"/>
  <c r="B508" i="10"/>
  <c r="C508" i="10"/>
  <c r="D508" i="10"/>
  <c r="A509" i="10"/>
  <c r="B509" i="10"/>
  <c r="C509" i="10"/>
  <c r="D509" i="10"/>
  <c r="A510" i="10"/>
  <c r="B510" i="10"/>
  <c r="C510" i="10"/>
  <c r="D510" i="10"/>
  <c r="A511" i="10"/>
  <c r="B511" i="10"/>
  <c r="C511" i="10"/>
  <c r="D511" i="10"/>
  <c r="A512" i="10"/>
  <c r="B512" i="10"/>
  <c r="C512" i="10"/>
  <c r="D512" i="10"/>
  <c r="A513" i="10"/>
  <c r="B513" i="10"/>
  <c r="C513" i="10"/>
  <c r="D513" i="10"/>
  <c r="A514" i="10"/>
  <c r="B514" i="10"/>
  <c r="C514" i="10"/>
  <c r="D514" i="10"/>
  <c r="A515" i="10"/>
  <c r="B515" i="10"/>
  <c r="C515" i="10"/>
  <c r="D515" i="10"/>
  <c r="A516" i="10"/>
  <c r="B516" i="10"/>
  <c r="C516" i="10"/>
  <c r="D516" i="10"/>
  <c r="A517" i="10"/>
  <c r="B517" i="10"/>
  <c r="C517" i="10"/>
  <c r="D517" i="10"/>
  <c r="A518" i="10"/>
  <c r="B518" i="10"/>
  <c r="C518" i="10"/>
  <c r="D518" i="10"/>
  <c r="A519" i="10"/>
  <c r="B519" i="10"/>
  <c r="C519" i="10"/>
  <c r="D519" i="10"/>
  <c r="A520" i="10"/>
  <c r="B520" i="10"/>
  <c r="C520" i="10"/>
  <c r="D520" i="10"/>
  <c r="A521" i="10"/>
  <c r="B521" i="10"/>
  <c r="C521" i="10"/>
  <c r="D521" i="10"/>
  <c r="A522" i="10"/>
  <c r="B522" i="10"/>
  <c r="C522" i="10"/>
  <c r="D522" i="10"/>
  <c r="A523" i="10"/>
  <c r="B523" i="10"/>
  <c r="C523" i="10"/>
  <c r="D523" i="10"/>
  <c r="A524" i="10"/>
  <c r="B524" i="10"/>
  <c r="C524" i="10"/>
  <c r="D524" i="10"/>
  <c r="A525" i="10"/>
  <c r="B525" i="10"/>
  <c r="C525" i="10"/>
  <c r="D525" i="10"/>
  <c r="A526" i="10"/>
  <c r="B526" i="10"/>
  <c r="C526" i="10"/>
  <c r="D526" i="10"/>
  <c r="A527" i="10"/>
  <c r="B527" i="10"/>
  <c r="C527" i="10"/>
  <c r="D527" i="10"/>
  <c r="A528" i="10"/>
  <c r="B528" i="10"/>
  <c r="C528" i="10"/>
  <c r="D528" i="10"/>
  <c r="A529" i="10"/>
  <c r="B529" i="10"/>
  <c r="C529" i="10"/>
  <c r="D529" i="10"/>
  <c r="A530" i="10"/>
  <c r="B530" i="10"/>
  <c r="C530" i="10"/>
  <c r="D530" i="10"/>
  <c r="A531" i="10"/>
  <c r="B531" i="10"/>
  <c r="C531" i="10"/>
  <c r="D531" i="10"/>
  <c r="A532" i="10"/>
  <c r="B532" i="10"/>
  <c r="C532" i="10"/>
  <c r="D532" i="10"/>
  <c r="A533" i="10"/>
  <c r="B533" i="10"/>
  <c r="C533" i="10"/>
  <c r="D533" i="10"/>
  <c r="A534" i="10"/>
  <c r="B534" i="10"/>
  <c r="C534" i="10"/>
  <c r="D534" i="10"/>
  <c r="A535" i="10"/>
  <c r="B535" i="10"/>
  <c r="C535" i="10"/>
  <c r="D535" i="10"/>
  <c r="A536" i="10"/>
  <c r="B536" i="10"/>
  <c r="C536" i="10"/>
  <c r="D536" i="10"/>
  <c r="A537" i="10"/>
  <c r="B537" i="10"/>
  <c r="C537" i="10"/>
  <c r="D537" i="10"/>
  <c r="A538" i="10"/>
  <c r="B538" i="10"/>
  <c r="C538" i="10"/>
  <c r="D538" i="10"/>
  <c r="A539" i="10"/>
  <c r="B539" i="10"/>
  <c r="C539" i="10"/>
  <c r="D539" i="10"/>
  <c r="A540" i="10"/>
  <c r="B540" i="10"/>
  <c r="C540" i="10"/>
  <c r="D540" i="10"/>
  <c r="A541" i="10"/>
  <c r="B541" i="10"/>
  <c r="C541" i="10"/>
  <c r="D541" i="10"/>
  <c r="A542" i="10"/>
  <c r="B542" i="10"/>
  <c r="C542" i="10"/>
  <c r="D542" i="10"/>
  <c r="A543" i="10"/>
  <c r="B543" i="10"/>
  <c r="C543" i="10"/>
  <c r="D543" i="10"/>
  <c r="A544" i="10"/>
  <c r="B544" i="10"/>
  <c r="C544" i="10"/>
  <c r="D544" i="10"/>
  <c r="A545" i="10"/>
  <c r="B545" i="10"/>
  <c r="C545" i="10"/>
  <c r="D545" i="10"/>
  <c r="A546" i="10"/>
  <c r="B546" i="10"/>
  <c r="C546" i="10"/>
  <c r="D546" i="10"/>
  <c r="A547" i="10"/>
  <c r="B547" i="10"/>
  <c r="C547" i="10"/>
  <c r="D547" i="10"/>
  <c r="A548" i="10"/>
  <c r="B548" i="10"/>
  <c r="C548" i="10"/>
  <c r="D548" i="10"/>
  <c r="A549" i="10"/>
  <c r="B549" i="10"/>
  <c r="C549" i="10"/>
  <c r="D549" i="10"/>
  <c r="A550" i="10"/>
  <c r="B550" i="10"/>
  <c r="C550" i="10"/>
  <c r="D550" i="10"/>
  <c r="A551" i="10"/>
  <c r="B551" i="10"/>
  <c r="C551" i="10"/>
  <c r="D551" i="10"/>
  <c r="A552" i="10"/>
  <c r="B552" i="10"/>
  <c r="C552" i="10"/>
  <c r="D552" i="10"/>
  <c r="A553" i="10"/>
  <c r="B553" i="10"/>
  <c r="C553" i="10"/>
  <c r="D553" i="10"/>
  <c r="A554" i="10"/>
  <c r="B554" i="10"/>
  <c r="C554" i="10"/>
  <c r="D554" i="10"/>
  <c r="A555" i="10"/>
  <c r="B555" i="10"/>
  <c r="C555" i="10"/>
  <c r="D555" i="10"/>
  <c r="A556" i="10"/>
  <c r="B556" i="10"/>
  <c r="C556" i="10"/>
  <c r="D556" i="10"/>
  <c r="A557" i="10"/>
  <c r="B557" i="10"/>
  <c r="C557" i="10"/>
  <c r="D557" i="10"/>
  <c r="A558" i="10"/>
  <c r="B558" i="10"/>
  <c r="C558" i="10"/>
  <c r="D558" i="10"/>
  <c r="A559" i="10"/>
  <c r="B559" i="10"/>
  <c r="C559" i="10"/>
  <c r="D559" i="10"/>
  <c r="A560" i="10"/>
  <c r="B560" i="10"/>
  <c r="C560" i="10"/>
  <c r="D560" i="10"/>
  <c r="A561" i="10"/>
  <c r="B561" i="10"/>
  <c r="C561" i="10"/>
  <c r="D561" i="10"/>
  <c r="A562" i="10"/>
  <c r="B562" i="10"/>
  <c r="C562" i="10"/>
  <c r="D562" i="10"/>
  <c r="A563" i="10"/>
  <c r="B563" i="10"/>
  <c r="C563" i="10"/>
  <c r="D563" i="10"/>
  <c r="A564" i="10"/>
  <c r="B564" i="10"/>
  <c r="C564" i="10"/>
  <c r="D564" i="10"/>
  <c r="A565" i="10"/>
  <c r="B565" i="10"/>
  <c r="C565" i="10"/>
  <c r="D565" i="10"/>
  <c r="A566" i="10"/>
  <c r="B566" i="10"/>
  <c r="C566" i="10"/>
  <c r="D566" i="10"/>
  <c r="A567" i="10"/>
  <c r="B567" i="10"/>
  <c r="C567" i="10"/>
  <c r="D567" i="10"/>
  <c r="A568" i="10"/>
  <c r="B568" i="10"/>
  <c r="C568" i="10"/>
  <c r="D568" i="10"/>
  <c r="A569" i="10"/>
  <c r="B569" i="10"/>
  <c r="C569" i="10"/>
  <c r="D569" i="10"/>
  <c r="A570" i="10"/>
  <c r="B570" i="10"/>
  <c r="C570" i="10"/>
  <c r="D570" i="10"/>
  <c r="A571" i="10"/>
  <c r="B571" i="10"/>
  <c r="C571" i="10"/>
  <c r="D571" i="10"/>
  <c r="A572" i="10"/>
  <c r="B572" i="10"/>
  <c r="C572" i="10"/>
  <c r="D572" i="10"/>
  <c r="A573" i="10"/>
  <c r="B573" i="10"/>
  <c r="C573" i="10"/>
  <c r="D573" i="10"/>
  <c r="A574" i="10"/>
  <c r="B574" i="10"/>
  <c r="C574" i="10"/>
  <c r="D574" i="10"/>
  <c r="A575" i="10"/>
  <c r="B575" i="10"/>
  <c r="C575" i="10"/>
  <c r="D575" i="10"/>
  <c r="A576" i="10"/>
  <c r="B576" i="10"/>
  <c r="C576" i="10"/>
  <c r="D576" i="10"/>
  <c r="A577" i="10"/>
  <c r="B577" i="10"/>
  <c r="C577" i="10"/>
  <c r="D577" i="10"/>
  <c r="A578" i="10"/>
  <c r="B578" i="10"/>
  <c r="C578" i="10"/>
  <c r="D578" i="10"/>
  <c r="A579" i="10"/>
  <c r="B579" i="10"/>
  <c r="C579" i="10"/>
  <c r="D579" i="10"/>
  <c r="A580" i="10"/>
  <c r="B580" i="10"/>
  <c r="C580" i="10"/>
  <c r="D580" i="10"/>
  <c r="A581" i="10"/>
  <c r="B581" i="10"/>
  <c r="C581" i="10"/>
  <c r="D581" i="10"/>
  <c r="A582" i="10"/>
  <c r="B582" i="10"/>
  <c r="C582" i="10"/>
  <c r="D582" i="10"/>
  <c r="A583" i="10"/>
  <c r="B583" i="10"/>
  <c r="C583" i="10"/>
  <c r="D583" i="10"/>
  <c r="A584" i="10"/>
  <c r="B584" i="10"/>
  <c r="C584" i="10"/>
  <c r="D584" i="10"/>
  <c r="A585" i="10"/>
  <c r="B585" i="10"/>
  <c r="C585" i="10"/>
  <c r="D585" i="10"/>
  <c r="A586" i="10"/>
  <c r="B586" i="10"/>
  <c r="C586" i="10"/>
  <c r="D586" i="10"/>
  <c r="A587" i="10"/>
  <c r="B587" i="10"/>
  <c r="C587" i="10"/>
  <c r="D587" i="10"/>
  <c r="A588" i="10"/>
  <c r="B588" i="10"/>
  <c r="C588" i="10"/>
  <c r="D588" i="10"/>
  <c r="A589" i="10"/>
  <c r="B589" i="10"/>
  <c r="C589" i="10"/>
  <c r="D589" i="10"/>
  <c r="A590" i="10"/>
  <c r="B590" i="10"/>
  <c r="C590" i="10"/>
  <c r="D590" i="10"/>
  <c r="A591" i="10"/>
  <c r="B591" i="10"/>
  <c r="C591" i="10"/>
  <c r="D591" i="10"/>
  <c r="A592" i="10"/>
  <c r="B592" i="10"/>
  <c r="C592" i="10"/>
  <c r="D592" i="10"/>
  <c r="A593" i="10"/>
  <c r="B593" i="10"/>
  <c r="C593" i="10"/>
  <c r="D593" i="10"/>
  <c r="A594" i="10"/>
  <c r="B594" i="10"/>
  <c r="C594" i="10"/>
  <c r="D594" i="10"/>
  <c r="A595" i="10"/>
  <c r="B595" i="10"/>
  <c r="C595" i="10"/>
  <c r="D595" i="10"/>
  <c r="A596" i="10"/>
  <c r="B596" i="10"/>
  <c r="C596" i="10"/>
  <c r="D596" i="10"/>
  <c r="A597" i="10"/>
  <c r="B597" i="10"/>
  <c r="C597" i="10"/>
  <c r="D597" i="10"/>
  <c r="A598" i="10"/>
  <c r="B598" i="10"/>
  <c r="C598" i="10"/>
  <c r="D598" i="10"/>
  <c r="A599" i="10"/>
  <c r="B599" i="10"/>
  <c r="C599" i="10"/>
  <c r="D599" i="10"/>
  <c r="A600" i="10"/>
  <c r="B600" i="10"/>
  <c r="C600" i="10"/>
  <c r="D600" i="10"/>
  <c r="A601" i="10"/>
  <c r="B601" i="10"/>
  <c r="C601" i="10"/>
  <c r="D601" i="10"/>
  <c r="A602" i="10"/>
  <c r="B602" i="10"/>
  <c r="C602" i="10"/>
  <c r="D602" i="10"/>
  <c r="A603" i="10"/>
  <c r="B603" i="10"/>
  <c r="C603" i="10"/>
  <c r="D603" i="10"/>
  <c r="A604" i="10"/>
  <c r="B604" i="10"/>
  <c r="C604" i="10"/>
  <c r="D604" i="10"/>
  <c r="A605" i="10"/>
  <c r="B605" i="10"/>
  <c r="C605" i="10"/>
  <c r="D605" i="10"/>
  <c r="A606" i="10"/>
  <c r="B606" i="10"/>
  <c r="C606" i="10"/>
  <c r="D606" i="10"/>
  <c r="A607" i="10"/>
  <c r="B607" i="10"/>
  <c r="C607" i="10"/>
  <c r="D607" i="10"/>
  <c r="A608" i="10"/>
  <c r="B608" i="10"/>
  <c r="C608" i="10"/>
  <c r="D608" i="10"/>
  <c r="A609" i="10"/>
  <c r="B609" i="10"/>
  <c r="C609" i="10"/>
  <c r="D609" i="10"/>
  <c r="A610" i="10"/>
  <c r="B610" i="10"/>
  <c r="C610" i="10"/>
  <c r="D610" i="10"/>
  <c r="A611" i="10"/>
  <c r="B611" i="10"/>
  <c r="C611" i="10"/>
  <c r="D611" i="10"/>
  <c r="A612" i="10"/>
  <c r="B612" i="10"/>
  <c r="C612" i="10"/>
  <c r="D612" i="10"/>
  <c r="A613" i="10"/>
  <c r="B613" i="10"/>
  <c r="C613" i="10"/>
  <c r="D613" i="10"/>
  <c r="A614" i="10"/>
  <c r="B614" i="10"/>
  <c r="C614" i="10"/>
  <c r="D614" i="10"/>
  <c r="A615" i="10"/>
  <c r="B615" i="10"/>
  <c r="C615" i="10"/>
  <c r="D615" i="10"/>
  <c r="A616" i="10"/>
  <c r="B616" i="10"/>
  <c r="C616" i="10"/>
  <c r="D616" i="10"/>
  <c r="A617" i="10"/>
  <c r="B617" i="10"/>
  <c r="C617" i="10"/>
  <c r="D617" i="10"/>
  <c r="A618" i="10"/>
  <c r="B618" i="10"/>
  <c r="C618" i="10"/>
  <c r="D618" i="10"/>
  <c r="A619" i="10"/>
  <c r="B619" i="10"/>
  <c r="C619" i="10"/>
  <c r="D619" i="10"/>
  <c r="A620" i="10"/>
  <c r="B620" i="10"/>
  <c r="C620" i="10"/>
  <c r="D620" i="10"/>
  <c r="A621" i="10"/>
  <c r="B621" i="10"/>
  <c r="C621" i="10"/>
  <c r="D621" i="10"/>
  <c r="A622" i="10"/>
  <c r="B622" i="10"/>
  <c r="C622" i="10"/>
  <c r="D622" i="10"/>
  <c r="A623" i="10"/>
  <c r="B623" i="10"/>
  <c r="C623" i="10"/>
  <c r="D623" i="10"/>
  <c r="A624" i="10"/>
  <c r="B624" i="10"/>
  <c r="C624" i="10"/>
  <c r="D624" i="10"/>
  <c r="A625" i="10"/>
  <c r="B625" i="10"/>
  <c r="C625" i="10"/>
  <c r="D625" i="10"/>
  <c r="A626" i="10"/>
  <c r="B626" i="10"/>
  <c r="C626" i="10"/>
  <c r="D626" i="10"/>
  <c r="A627" i="10"/>
  <c r="B627" i="10"/>
  <c r="C627" i="10"/>
  <c r="D627" i="10"/>
  <c r="A628" i="10"/>
  <c r="B628" i="10"/>
  <c r="C628" i="10"/>
  <c r="D628" i="10"/>
  <c r="A629" i="10"/>
  <c r="B629" i="10"/>
  <c r="C629" i="10"/>
  <c r="D629" i="10"/>
  <c r="A630" i="10"/>
  <c r="B630" i="10"/>
  <c r="C630" i="10"/>
  <c r="D630" i="10"/>
  <c r="A631" i="10"/>
  <c r="B631" i="10"/>
  <c r="C631" i="10"/>
  <c r="D631" i="10"/>
  <c r="A632" i="10"/>
  <c r="B632" i="10"/>
  <c r="C632" i="10"/>
  <c r="D632" i="10"/>
  <c r="A633" i="10"/>
  <c r="B633" i="10"/>
  <c r="C633" i="10"/>
  <c r="D633" i="10"/>
  <c r="A634" i="10"/>
  <c r="B634" i="10"/>
  <c r="C634" i="10"/>
  <c r="D634" i="10"/>
  <c r="A635" i="10"/>
  <c r="B635" i="10"/>
  <c r="C635" i="10"/>
  <c r="D635" i="10"/>
  <c r="A636" i="10"/>
  <c r="B636" i="10"/>
  <c r="C636" i="10"/>
  <c r="D636" i="10"/>
  <c r="A637" i="10"/>
  <c r="B637" i="10"/>
  <c r="C637" i="10"/>
  <c r="D637" i="10"/>
  <c r="A638" i="10"/>
  <c r="B638" i="10"/>
  <c r="C638" i="10"/>
  <c r="D638" i="10"/>
  <c r="A639" i="10"/>
  <c r="B639" i="10"/>
  <c r="C639" i="10"/>
  <c r="D639" i="10"/>
  <c r="A640" i="10"/>
  <c r="B640" i="10"/>
  <c r="C640" i="10"/>
  <c r="D640" i="10"/>
  <c r="A641" i="10"/>
  <c r="B641" i="10"/>
  <c r="C641" i="10"/>
  <c r="D641" i="10"/>
  <c r="A642" i="10"/>
  <c r="B642" i="10"/>
  <c r="C642" i="10"/>
  <c r="D642" i="10"/>
  <c r="A643" i="10"/>
  <c r="B643" i="10"/>
  <c r="C643" i="10"/>
  <c r="D643" i="10"/>
  <c r="A644" i="10"/>
  <c r="B644" i="10"/>
  <c r="C644" i="10"/>
  <c r="D644" i="10"/>
  <c r="A645" i="10"/>
  <c r="B645" i="10"/>
  <c r="C645" i="10"/>
  <c r="D645" i="10"/>
  <c r="A646" i="10"/>
  <c r="B646" i="10"/>
  <c r="C646" i="10"/>
  <c r="D646" i="10"/>
  <c r="A647" i="10"/>
  <c r="B647" i="10"/>
  <c r="C647" i="10"/>
  <c r="D647" i="10"/>
  <c r="A648" i="10"/>
  <c r="B648" i="10"/>
  <c r="C648" i="10"/>
  <c r="D648" i="10"/>
  <c r="A649" i="10"/>
  <c r="B649" i="10"/>
  <c r="C649" i="10"/>
  <c r="D649" i="10"/>
  <c r="A650" i="10"/>
  <c r="B650" i="10"/>
  <c r="C650" i="10"/>
  <c r="D650" i="10"/>
  <c r="A651" i="10"/>
  <c r="B651" i="10"/>
  <c r="C651" i="10"/>
  <c r="D651" i="10"/>
  <c r="A652" i="10"/>
  <c r="B652" i="10"/>
  <c r="C652" i="10"/>
  <c r="D652" i="10"/>
  <c r="A653" i="10"/>
  <c r="B653" i="10"/>
  <c r="C653" i="10"/>
  <c r="D653" i="10"/>
  <c r="A654" i="10"/>
  <c r="B654" i="10"/>
  <c r="C654" i="10"/>
  <c r="D654" i="10"/>
  <c r="A655" i="10"/>
  <c r="B655" i="10"/>
  <c r="C655" i="10"/>
  <c r="D655" i="10"/>
  <c r="A656" i="10"/>
  <c r="B656" i="10"/>
  <c r="C656" i="10"/>
  <c r="D656" i="10"/>
  <c r="A657" i="10"/>
  <c r="B657" i="10"/>
  <c r="C657" i="10"/>
  <c r="D657" i="10"/>
  <c r="A658" i="10"/>
  <c r="B658" i="10"/>
  <c r="C658" i="10"/>
  <c r="D658" i="10"/>
  <c r="A659" i="10"/>
  <c r="B659" i="10"/>
  <c r="C659" i="10"/>
  <c r="D659" i="10"/>
  <c r="A660" i="10"/>
  <c r="B660" i="10"/>
  <c r="C660" i="10"/>
  <c r="D660" i="10"/>
  <c r="A661" i="10"/>
  <c r="B661" i="10"/>
  <c r="C661" i="10"/>
  <c r="D661" i="10"/>
  <c r="A662" i="10"/>
  <c r="B662" i="10"/>
  <c r="C662" i="10"/>
  <c r="D662" i="10"/>
  <c r="A663" i="10"/>
  <c r="B663" i="10"/>
  <c r="C663" i="10"/>
  <c r="D663" i="10"/>
  <c r="A664" i="10"/>
  <c r="B664" i="10"/>
  <c r="C664" i="10"/>
  <c r="D664" i="10"/>
  <c r="A665" i="10"/>
  <c r="B665" i="10"/>
  <c r="C665" i="10"/>
  <c r="D665" i="10"/>
  <c r="A666" i="10"/>
  <c r="B666" i="10"/>
  <c r="C666" i="10"/>
  <c r="D666" i="10"/>
  <c r="A667" i="10"/>
  <c r="B667" i="10"/>
  <c r="C667" i="10"/>
  <c r="D667" i="10"/>
  <c r="A668" i="10"/>
  <c r="B668" i="10"/>
  <c r="C668" i="10"/>
  <c r="D668" i="10"/>
  <c r="A669" i="10"/>
  <c r="B669" i="10"/>
  <c r="C669" i="10"/>
  <c r="D669" i="10"/>
  <c r="A670" i="10"/>
  <c r="B670" i="10"/>
  <c r="C670" i="10"/>
  <c r="D670" i="10"/>
  <c r="A671" i="10"/>
  <c r="B671" i="10"/>
  <c r="C671" i="10"/>
  <c r="D671" i="10"/>
  <c r="A672" i="10"/>
  <c r="B672" i="10"/>
  <c r="C672" i="10"/>
  <c r="D672" i="10"/>
  <c r="A673" i="10"/>
  <c r="B673" i="10"/>
  <c r="C673" i="10"/>
  <c r="D673" i="10"/>
  <c r="A674" i="10"/>
  <c r="B674" i="10"/>
  <c r="C674" i="10"/>
  <c r="D674" i="10"/>
  <c r="A675" i="10"/>
  <c r="B675" i="10"/>
  <c r="C675" i="10"/>
  <c r="D675" i="10"/>
  <c r="A676" i="10"/>
  <c r="B676" i="10"/>
  <c r="C676" i="10"/>
  <c r="D676" i="10"/>
  <c r="A677" i="10"/>
  <c r="B677" i="10"/>
  <c r="C677" i="10"/>
  <c r="D677" i="10"/>
  <c r="A678" i="10"/>
  <c r="B678" i="10"/>
  <c r="C678" i="10"/>
  <c r="D678" i="10"/>
  <c r="A679" i="10"/>
  <c r="B679" i="10"/>
  <c r="C679" i="10"/>
  <c r="D679" i="10"/>
  <c r="A680" i="10"/>
  <c r="B680" i="10"/>
  <c r="C680" i="10"/>
  <c r="D680" i="10"/>
  <c r="A681" i="10"/>
  <c r="B681" i="10"/>
  <c r="C681" i="10"/>
  <c r="D681" i="10"/>
  <c r="A682" i="10"/>
  <c r="B682" i="10"/>
  <c r="C682" i="10"/>
  <c r="D682" i="10"/>
  <c r="A683" i="10"/>
  <c r="B683" i="10"/>
  <c r="C683" i="10"/>
  <c r="D683" i="10"/>
  <c r="A684" i="10"/>
  <c r="B684" i="10"/>
  <c r="C684" i="10"/>
  <c r="D684" i="10"/>
  <c r="A685" i="10"/>
  <c r="B685" i="10"/>
  <c r="C685" i="10"/>
  <c r="D685" i="10"/>
  <c r="A686" i="10"/>
  <c r="B686" i="10"/>
  <c r="C686" i="10"/>
  <c r="D686" i="10"/>
  <c r="A687" i="10"/>
  <c r="B687" i="10"/>
  <c r="C687" i="10"/>
  <c r="D687" i="10"/>
  <c r="A688" i="10"/>
  <c r="B688" i="10"/>
  <c r="C688" i="10"/>
  <c r="D688" i="10"/>
  <c r="A689" i="10"/>
  <c r="B689" i="10"/>
  <c r="C689" i="10"/>
  <c r="D689" i="10"/>
  <c r="A690" i="10"/>
  <c r="B690" i="10"/>
  <c r="C690" i="10"/>
  <c r="D690" i="10"/>
  <c r="A691" i="10"/>
  <c r="B691" i="10"/>
  <c r="C691" i="10"/>
  <c r="D691" i="10"/>
  <c r="A692" i="10"/>
  <c r="B692" i="10"/>
  <c r="C692" i="10"/>
  <c r="D692" i="10"/>
  <c r="A693" i="10"/>
  <c r="B693" i="10"/>
  <c r="C693" i="10"/>
  <c r="D693" i="10"/>
  <c r="A694" i="10"/>
  <c r="B694" i="10"/>
  <c r="C694" i="10"/>
  <c r="D694" i="10"/>
  <c r="A695" i="10"/>
  <c r="B695" i="10"/>
  <c r="C695" i="10"/>
  <c r="D695" i="10"/>
  <c r="A696" i="10"/>
  <c r="B696" i="10"/>
  <c r="C696" i="10"/>
  <c r="D696" i="10"/>
  <c r="A697" i="10"/>
  <c r="B697" i="10"/>
  <c r="C697" i="10"/>
  <c r="D697" i="10"/>
  <c r="A698" i="10"/>
  <c r="B698" i="10"/>
  <c r="C698" i="10"/>
  <c r="D698" i="10"/>
  <c r="A699" i="10"/>
  <c r="B699" i="10"/>
  <c r="C699" i="10"/>
  <c r="D699" i="10"/>
  <c r="A700" i="10"/>
  <c r="B700" i="10"/>
  <c r="C700" i="10"/>
  <c r="D700" i="10"/>
  <c r="A701" i="10"/>
  <c r="B701" i="10"/>
  <c r="C701" i="10"/>
  <c r="D701" i="10"/>
  <c r="A702" i="10"/>
  <c r="B702" i="10"/>
  <c r="C702" i="10"/>
  <c r="D702" i="10"/>
  <c r="A703" i="10"/>
  <c r="B703" i="10"/>
  <c r="C703" i="10"/>
  <c r="D703" i="10"/>
  <c r="A704" i="10"/>
  <c r="B704" i="10"/>
  <c r="C704" i="10"/>
  <c r="D704" i="10"/>
  <c r="A705" i="10"/>
  <c r="B705" i="10"/>
  <c r="C705" i="10"/>
  <c r="D705" i="10"/>
  <c r="A706" i="10"/>
  <c r="B706" i="10"/>
  <c r="C706" i="10"/>
  <c r="D706" i="10"/>
  <c r="A707" i="10"/>
  <c r="B707" i="10"/>
  <c r="C707" i="10"/>
  <c r="D707" i="10"/>
  <c r="A708" i="10"/>
  <c r="B708" i="10"/>
  <c r="C708" i="10"/>
  <c r="D708" i="10"/>
  <c r="A709" i="10"/>
  <c r="B709" i="10"/>
  <c r="C709" i="10"/>
  <c r="D709" i="10"/>
  <c r="A710" i="10"/>
  <c r="B710" i="10"/>
  <c r="C710" i="10"/>
  <c r="D710" i="10"/>
  <c r="A711" i="10"/>
  <c r="B711" i="10"/>
  <c r="C711" i="10"/>
  <c r="D711" i="10"/>
  <c r="A712" i="10"/>
  <c r="B712" i="10"/>
  <c r="C712" i="10"/>
  <c r="D712" i="10"/>
  <c r="A713" i="10"/>
  <c r="B713" i="10"/>
  <c r="C713" i="10"/>
  <c r="D713" i="10"/>
  <c r="A714" i="10"/>
  <c r="B714" i="10"/>
  <c r="C714" i="10"/>
  <c r="D714" i="10"/>
  <c r="A715" i="10"/>
  <c r="B715" i="10"/>
  <c r="C715" i="10"/>
  <c r="D715" i="10"/>
  <c r="A716" i="10"/>
  <c r="B716" i="10"/>
  <c r="C716" i="10"/>
  <c r="D716" i="10"/>
  <c r="A717" i="10"/>
  <c r="B717" i="10"/>
  <c r="C717" i="10"/>
  <c r="D717" i="10"/>
  <c r="A718" i="10"/>
  <c r="B718" i="10"/>
  <c r="C718" i="10"/>
  <c r="D718" i="10"/>
  <c r="A719" i="10"/>
  <c r="B719" i="10"/>
  <c r="C719" i="10"/>
  <c r="D719" i="10"/>
  <c r="A720" i="10"/>
  <c r="B720" i="10"/>
  <c r="C720" i="10"/>
  <c r="D720" i="10"/>
  <c r="A721" i="10"/>
  <c r="B721" i="10"/>
  <c r="C721" i="10"/>
  <c r="D721" i="10"/>
  <c r="A722" i="10"/>
  <c r="B722" i="10"/>
  <c r="C722" i="10"/>
  <c r="D722" i="10"/>
  <c r="A723" i="10"/>
  <c r="B723" i="10"/>
  <c r="C723" i="10"/>
  <c r="D723" i="10"/>
  <c r="A724" i="10"/>
  <c r="B724" i="10"/>
  <c r="C724" i="10"/>
  <c r="D724" i="10"/>
  <c r="A725" i="10"/>
  <c r="B725" i="10"/>
  <c r="C725" i="10"/>
  <c r="D725" i="10"/>
  <c r="A726" i="10"/>
  <c r="B726" i="10"/>
  <c r="C726" i="10"/>
  <c r="D726" i="10"/>
  <c r="A727" i="10"/>
  <c r="B727" i="10"/>
  <c r="C727" i="10"/>
  <c r="D727" i="10"/>
  <c r="A728" i="10"/>
  <c r="B728" i="10"/>
  <c r="C728" i="10"/>
  <c r="D728" i="10"/>
  <c r="A729" i="10"/>
  <c r="B729" i="10"/>
  <c r="C729" i="10"/>
  <c r="D729" i="10"/>
  <c r="A730" i="10"/>
  <c r="B730" i="10"/>
  <c r="C730" i="10"/>
  <c r="D730" i="10"/>
  <c r="A731" i="10"/>
  <c r="B731" i="10"/>
  <c r="C731" i="10"/>
  <c r="D731" i="10"/>
  <c r="A732" i="10"/>
  <c r="B732" i="10"/>
  <c r="C732" i="10"/>
  <c r="D732" i="10"/>
  <c r="A733" i="10"/>
  <c r="B733" i="10"/>
  <c r="C733" i="10"/>
  <c r="D733" i="10"/>
  <c r="A734" i="10"/>
  <c r="B734" i="10"/>
  <c r="C734" i="10"/>
  <c r="D734" i="10"/>
  <c r="A735" i="10"/>
  <c r="B735" i="10"/>
  <c r="C735" i="10"/>
  <c r="D735" i="10"/>
  <c r="A736" i="10"/>
  <c r="B736" i="10"/>
  <c r="C736" i="10"/>
  <c r="D736" i="10"/>
  <c r="A737" i="10"/>
  <c r="B737" i="10"/>
  <c r="C737" i="10"/>
  <c r="D737" i="10"/>
  <c r="A738" i="10"/>
  <c r="B738" i="10"/>
  <c r="C738" i="10"/>
  <c r="D738" i="10"/>
  <c r="A739" i="10"/>
  <c r="B739" i="10"/>
  <c r="C739" i="10"/>
  <c r="D739" i="10"/>
  <c r="A740" i="10"/>
  <c r="B740" i="10"/>
  <c r="C740" i="10"/>
  <c r="D740" i="10"/>
  <c r="A741" i="10"/>
  <c r="B741" i="10"/>
  <c r="C741" i="10"/>
  <c r="D741" i="10"/>
  <c r="A742" i="10"/>
  <c r="B742" i="10"/>
  <c r="C742" i="10"/>
  <c r="D742" i="10"/>
  <c r="A743" i="10"/>
  <c r="B743" i="10"/>
  <c r="C743" i="10"/>
  <c r="D743" i="10"/>
  <c r="A744" i="10"/>
  <c r="B744" i="10"/>
  <c r="C744" i="10"/>
  <c r="D744" i="10"/>
  <c r="A745" i="10"/>
  <c r="B745" i="10"/>
  <c r="C745" i="10"/>
  <c r="D745" i="10"/>
  <c r="A746" i="10"/>
  <c r="B746" i="10"/>
  <c r="C746" i="10"/>
  <c r="D746" i="10"/>
  <c r="A747" i="10"/>
  <c r="B747" i="10"/>
  <c r="C747" i="10"/>
  <c r="D747" i="10"/>
  <c r="A748" i="10"/>
  <c r="B748" i="10"/>
  <c r="C748" i="10"/>
  <c r="D748" i="10"/>
  <c r="A749" i="10"/>
  <c r="B749" i="10"/>
  <c r="C749" i="10"/>
  <c r="D749" i="10"/>
  <c r="A750" i="10"/>
  <c r="B750" i="10"/>
  <c r="C750" i="10"/>
  <c r="D750" i="10"/>
  <c r="A751" i="10"/>
  <c r="B751" i="10"/>
  <c r="C751" i="10"/>
  <c r="D751" i="10"/>
  <c r="A752" i="10"/>
  <c r="B752" i="10"/>
  <c r="C752" i="10"/>
  <c r="D752" i="10"/>
  <c r="A753" i="10"/>
  <c r="B753" i="10"/>
  <c r="C753" i="10"/>
  <c r="D753" i="10"/>
  <c r="A754" i="10"/>
  <c r="B754" i="10"/>
  <c r="C754" i="10"/>
  <c r="D754" i="10"/>
  <c r="A755" i="10"/>
  <c r="B755" i="10"/>
  <c r="C755" i="10"/>
  <c r="D755" i="10"/>
  <c r="A756" i="10"/>
  <c r="B756" i="10"/>
  <c r="C756" i="10"/>
  <c r="D756" i="10"/>
  <c r="A757" i="10"/>
  <c r="B757" i="10"/>
  <c r="C757" i="10"/>
  <c r="D757" i="10"/>
  <c r="A758" i="10"/>
  <c r="B758" i="10"/>
  <c r="C758" i="10"/>
  <c r="D758" i="10"/>
  <c r="A759" i="10"/>
  <c r="B759" i="10"/>
  <c r="C759" i="10"/>
  <c r="D759" i="10"/>
  <c r="A760" i="10"/>
  <c r="B760" i="10"/>
  <c r="C760" i="10"/>
  <c r="D760" i="10"/>
  <c r="A761" i="10"/>
  <c r="B761" i="10"/>
  <c r="C761" i="10"/>
  <c r="D761" i="10"/>
  <c r="A762" i="10"/>
  <c r="B762" i="10"/>
  <c r="C762" i="10"/>
  <c r="D762" i="10"/>
  <c r="A763" i="10"/>
  <c r="B763" i="10"/>
  <c r="C763" i="10"/>
  <c r="D763" i="10"/>
  <c r="A764" i="10"/>
  <c r="B764" i="10"/>
  <c r="C764" i="10"/>
  <c r="D764" i="10"/>
  <c r="A765" i="10"/>
  <c r="B765" i="10"/>
  <c r="C765" i="10"/>
  <c r="D765" i="10"/>
  <c r="A766" i="10"/>
  <c r="B766" i="10"/>
  <c r="C766" i="10"/>
  <c r="D766" i="10"/>
  <c r="A767" i="10"/>
  <c r="B767" i="10"/>
  <c r="C767" i="10"/>
  <c r="D767" i="10"/>
  <c r="A768" i="10"/>
  <c r="B768" i="10"/>
  <c r="C768" i="10"/>
  <c r="D768" i="10"/>
  <c r="A769" i="10"/>
  <c r="B769" i="10"/>
  <c r="C769" i="10"/>
  <c r="D769" i="10"/>
  <c r="A770" i="10"/>
  <c r="B770" i="10"/>
  <c r="C770" i="10"/>
  <c r="D770" i="10"/>
  <c r="A771" i="10"/>
  <c r="B771" i="10"/>
  <c r="C771" i="10"/>
  <c r="D771" i="10"/>
  <c r="A772" i="10"/>
  <c r="B772" i="10"/>
  <c r="C772" i="10"/>
  <c r="D772" i="10"/>
  <c r="A773" i="10"/>
  <c r="B773" i="10"/>
  <c r="C773" i="10"/>
  <c r="D773" i="10"/>
  <c r="A774" i="10"/>
  <c r="B774" i="10"/>
  <c r="C774" i="10"/>
  <c r="D774" i="10"/>
  <c r="A775" i="10"/>
  <c r="B775" i="10"/>
  <c r="C775" i="10"/>
  <c r="D775" i="10"/>
  <c r="A776" i="10"/>
  <c r="B776" i="10"/>
  <c r="C776" i="10"/>
  <c r="D776" i="10"/>
  <c r="A777" i="10"/>
  <c r="B777" i="10"/>
  <c r="C777" i="10"/>
  <c r="D777" i="10"/>
  <c r="A778" i="10"/>
  <c r="B778" i="10"/>
  <c r="C778" i="10"/>
  <c r="D778" i="10"/>
  <c r="A779" i="10"/>
  <c r="B779" i="10"/>
  <c r="C779" i="10"/>
  <c r="D779" i="10"/>
  <c r="A780" i="10"/>
  <c r="B780" i="10"/>
  <c r="C780" i="10"/>
  <c r="D780" i="10"/>
  <c r="A781" i="10"/>
  <c r="B781" i="10"/>
  <c r="C781" i="10"/>
  <c r="D781" i="10"/>
  <c r="A782" i="10"/>
  <c r="B782" i="10"/>
  <c r="C782" i="10"/>
  <c r="D782" i="10"/>
  <c r="A783" i="10"/>
  <c r="B783" i="10"/>
  <c r="C783" i="10"/>
  <c r="D783" i="10"/>
  <c r="A784" i="10"/>
  <c r="B784" i="10"/>
  <c r="C784" i="10"/>
  <c r="D784" i="10"/>
  <c r="A785" i="10"/>
  <c r="B785" i="10"/>
  <c r="C785" i="10"/>
  <c r="D785" i="10"/>
  <c r="A786" i="10"/>
  <c r="B786" i="10"/>
  <c r="C786" i="10"/>
  <c r="D786" i="10"/>
  <c r="A787" i="10"/>
  <c r="B787" i="10"/>
  <c r="C787" i="10"/>
  <c r="D787" i="10"/>
  <c r="A788" i="10"/>
  <c r="B788" i="10"/>
  <c r="C788" i="10"/>
  <c r="D788" i="10"/>
  <c r="A789" i="10"/>
  <c r="B789" i="10"/>
  <c r="C789" i="10"/>
  <c r="D789" i="10"/>
  <c r="A790" i="10"/>
  <c r="B790" i="10"/>
  <c r="C790" i="10"/>
  <c r="D790" i="10"/>
  <c r="A791" i="10"/>
  <c r="B791" i="10"/>
  <c r="C791" i="10"/>
  <c r="D791" i="10"/>
  <c r="A792" i="10"/>
  <c r="B792" i="10"/>
  <c r="C792" i="10"/>
  <c r="D792" i="10"/>
  <c r="A793" i="10"/>
  <c r="B793" i="10"/>
  <c r="C793" i="10"/>
  <c r="D793" i="10"/>
  <c r="A794" i="10"/>
  <c r="B794" i="10"/>
  <c r="C794" i="10"/>
  <c r="D794" i="10"/>
  <c r="A795" i="10"/>
  <c r="B795" i="10"/>
  <c r="C795" i="10"/>
  <c r="D795" i="10"/>
  <c r="A796" i="10"/>
  <c r="B796" i="10"/>
  <c r="C796" i="10"/>
  <c r="D796" i="10"/>
  <c r="A797" i="10"/>
  <c r="B797" i="10"/>
  <c r="C797" i="10"/>
  <c r="D797" i="10"/>
  <c r="A798" i="10"/>
  <c r="B798" i="10"/>
  <c r="C798" i="10"/>
  <c r="D798" i="10"/>
  <c r="A799" i="10"/>
  <c r="B799" i="10"/>
  <c r="C799" i="10"/>
  <c r="D799" i="10"/>
  <c r="A800" i="10"/>
  <c r="B800" i="10"/>
  <c r="C800" i="10"/>
  <c r="D800" i="10"/>
  <c r="A801" i="10"/>
  <c r="B801" i="10"/>
  <c r="C801" i="10"/>
  <c r="D801" i="10"/>
  <c r="A802" i="10"/>
  <c r="B802" i="10"/>
  <c r="C802" i="10"/>
  <c r="D802" i="10"/>
  <c r="A803" i="10"/>
  <c r="B803" i="10"/>
  <c r="C803" i="10"/>
  <c r="D803" i="10"/>
  <c r="A804" i="10"/>
  <c r="B804" i="10"/>
  <c r="C804" i="10"/>
  <c r="D804" i="10"/>
  <c r="A805" i="10"/>
  <c r="B805" i="10"/>
  <c r="C805" i="10"/>
  <c r="D805" i="10"/>
  <c r="A806" i="10"/>
  <c r="B806" i="10"/>
  <c r="C806" i="10"/>
  <c r="D806" i="10"/>
  <c r="A807" i="10"/>
  <c r="B807" i="10"/>
  <c r="C807" i="10"/>
  <c r="D807" i="10"/>
  <c r="A808" i="10"/>
  <c r="B808" i="10"/>
  <c r="C808" i="10"/>
  <c r="D808" i="10"/>
  <c r="A809" i="10"/>
  <c r="B809" i="10"/>
  <c r="C809" i="10"/>
  <c r="D809" i="10"/>
  <c r="A810" i="10"/>
  <c r="B810" i="10"/>
  <c r="C810" i="10"/>
  <c r="D810" i="10"/>
  <c r="A811" i="10"/>
  <c r="B811" i="10"/>
  <c r="C811" i="10"/>
  <c r="D811" i="10"/>
  <c r="A812" i="10"/>
  <c r="B812" i="10"/>
  <c r="C812" i="10"/>
  <c r="D812" i="10"/>
  <c r="A813" i="10"/>
  <c r="B813" i="10"/>
  <c r="C813" i="10"/>
  <c r="D813" i="10"/>
  <c r="A814" i="10"/>
  <c r="B814" i="10"/>
  <c r="C814" i="10"/>
  <c r="D814" i="10"/>
  <c r="A815" i="10"/>
  <c r="B815" i="10"/>
  <c r="C815" i="10"/>
  <c r="D815" i="10"/>
  <c r="A816" i="10"/>
  <c r="B816" i="10"/>
  <c r="C816" i="10"/>
  <c r="D816" i="10"/>
  <c r="A817" i="10"/>
  <c r="B817" i="10"/>
  <c r="C817" i="10"/>
  <c r="D817" i="10"/>
  <c r="A818" i="10"/>
  <c r="B818" i="10"/>
  <c r="C818" i="10"/>
  <c r="D818" i="10"/>
  <c r="A819" i="10"/>
  <c r="B819" i="10"/>
  <c r="C819" i="10"/>
  <c r="D819" i="10"/>
  <c r="A820" i="10"/>
  <c r="B820" i="10"/>
  <c r="C820" i="10"/>
  <c r="D820" i="10"/>
  <c r="A821" i="10"/>
  <c r="B821" i="10"/>
  <c r="C821" i="10"/>
  <c r="D821" i="10"/>
  <c r="A822" i="10"/>
  <c r="B822" i="10"/>
  <c r="C822" i="10"/>
  <c r="D822" i="10"/>
  <c r="A823" i="10"/>
  <c r="B823" i="10"/>
  <c r="C823" i="10"/>
  <c r="D823" i="10"/>
  <c r="A824" i="10"/>
  <c r="B824" i="10"/>
  <c r="C824" i="10"/>
  <c r="D824" i="10"/>
  <c r="A825" i="10"/>
  <c r="B825" i="10"/>
  <c r="C825" i="10"/>
  <c r="D825" i="10"/>
  <c r="A826" i="10"/>
  <c r="B826" i="10"/>
  <c r="C826" i="10"/>
  <c r="D826" i="10"/>
  <c r="A827" i="10"/>
  <c r="B827" i="10"/>
  <c r="C827" i="10"/>
  <c r="D827" i="10"/>
  <c r="A828" i="10"/>
  <c r="B828" i="10"/>
  <c r="C828" i="10"/>
  <c r="D828" i="10"/>
  <c r="A829" i="10"/>
  <c r="B829" i="10"/>
  <c r="C829" i="10"/>
  <c r="D829" i="10"/>
  <c r="A830" i="10"/>
  <c r="B830" i="10"/>
  <c r="C830" i="10"/>
  <c r="D830" i="10"/>
  <c r="A831" i="10"/>
  <c r="B831" i="10"/>
  <c r="C831" i="10"/>
  <c r="D831" i="10"/>
  <c r="A832" i="10"/>
  <c r="B832" i="10"/>
  <c r="C832" i="10"/>
  <c r="D832" i="10"/>
  <c r="A833" i="10"/>
  <c r="B833" i="10"/>
  <c r="C833" i="10"/>
  <c r="D833" i="10"/>
  <c r="A834" i="10"/>
  <c r="B834" i="10"/>
  <c r="C834" i="10"/>
  <c r="D834" i="10"/>
  <c r="A835" i="10"/>
  <c r="B835" i="10"/>
  <c r="C835" i="10"/>
  <c r="D835" i="10"/>
  <c r="A836" i="10"/>
  <c r="B836" i="10"/>
  <c r="C836" i="10"/>
  <c r="D836" i="10"/>
  <c r="A837" i="10"/>
  <c r="B837" i="10"/>
  <c r="C837" i="10"/>
  <c r="D837" i="10"/>
  <c r="A838" i="10"/>
  <c r="B838" i="10"/>
  <c r="C838" i="10"/>
  <c r="D838" i="10"/>
  <c r="A839" i="10"/>
  <c r="B839" i="10"/>
  <c r="C839" i="10"/>
  <c r="D839" i="10"/>
  <c r="A840" i="10"/>
  <c r="B840" i="10"/>
  <c r="C840" i="10"/>
  <c r="D840" i="10"/>
  <c r="A841" i="10"/>
  <c r="B841" i="10"/>
  <c r="C841" i="10"/>
  <c r="D841" i="10"/>
  <c r="A842" i="10"/>
  <c r="B842" i="10"/>
  <c r="C842" i="10"/>
  <c r="D842" i="10"/>
  <c r="A843" i="10"/>
  <c r="B843" i="10"/>
  <c r="C843" i="10"/>
  <c r="D843" i="10"/>
  <c r="A844" i="10"/>
  <c r="B844" i="10"/>
  <c r="C844" i="10"/>
  <c r="D844" i="10"/>
  <c r="A845" i="10"/>
  <c r="B845" i="10"/>
  <c r="C845" i="10"/>
  <c r="D845" i="10"/>
  <c r="A846" i="10"/>
  <c r="B846" i="10"/>
  <c r="C846" i="10"/>
  <c r="D846" i="10"/>
  <c r="A847" i="10"/>
  <c r="B847" i="10"/>
  <c r="C847" i="10"/>
  <c r="D847" i="10"/>
  <c r="A848" i="10"/>
  <c r="B848" i="10"/>
  <c r="C848" i="10"/>
  <c r="D848" i="10"/>
  <c r="A849" i="10"/>
  <c r="B849" i="10"/>
  <c r="C849" i="10"/>
  <c r="D849" i="10"/>
  <c r="A850" i="10"/>
  <c r="B850" i="10"/>
  <c r="C850" i="10"/>
  <c r="D850" i="10"/>
  <c r="A851" i="10"/>
  <c r="B851" i="10"/>
  <c r="C851" i="10"/>
  <c r="D851" i="10"/>
  <c r="A852" i="10"/>
  <c r="B852" i="10"/>
  <c r="C852" i="10"/>
  <c r="D852" i="10"/>
  <c r="A853" i="10"/>
  <c r="B853" i="10"/>
  <c r="C853" i="10"/>
  <c r="D853" i="10"/>
  <c r="A854" i="10"/>
  <c r="B854" i="10"/>
  <c r="C854" i="10"/>
  <c r="D854" i="10"/>
  <c r="A855" i="10"/>
  <c r="B855" i="10"/>
  <c r="C855" i="10"/>
  <c r="D855" i="10"/>
  <c r="A856" i="10"/>
  <c r="B856" i="10"/>
  <c r="C856" i="10"/>
  <c r="D856" i="10"/>
  <c r="A857" i="10"/>
  <c r="B857" i="10"/>
  <c r="C857" i="10"/>
  <c r="D857" i="10"/>
  <c r="A858" i="10"/>
  <c r="B858" i="10"/>
  <c r="C858" i="10"/>
  <c r="D858" i="10"/>
  <c r="A859" i="10"/>
  <c r="B859" i="10"/>
  <c r="C859" i="10"/>
  <c r="D859" i="10"/>
  <c r="A860" i="10"/>
  <c r="B860" i="10"/>
  <c r="C860" i="10"/>
  <c r="D860" i="10"/>
  <c r="A861" i="10"/>
  <c r="B861" i="10"/>
  <c r="C861" i="10"/>
  <c r="D861" i="10"/>
  <c r="A862" i="10"/>
  <c r="B862" i="10"/>
  <c r="C862" i="10"/>
  <c r="D862" i="10"/>
  <c r="A863" i="10"/>
  <c r="B863" i="10"/>
  <c r="C863" i="10"/>
  <c r="D863" i="10"/>
  <c r="A864" i="10"/>
  <c r="B864" i="10"/>
  <c r="C864" i="10"/>
  <c r="D864" i="10"/>
  <c r="A865" i="10"/>
  <c r="B865" i="10"/>
  <c r="C865" i="10"/>
  <c r="D865" i="10"/>
  <c r="A866" i="10"/>
  <c r="B866" i="10"/>
  <c r="C866" i="10"/>
  <c r="D866" i="10"/>
  <c r="A867" i="10"/>
  <c r="B867" i="10"/>
  <c r="C867" i="10"/>
  <c r="D867" i="10"/>
  <c r="A868" i="10"/>
  <c r="B868" i="10"/>
  <c r="C868" i="10"/>
  <c r="D868" i="10"/>
  <c r="A869" i="10"/>
  <c r="B869" i="10"/>
  <c r="C869" i="10"/>
  <c r="D869" i="10"/>
  <c r="A870" i="10"/>
  <c r="B870" i="10"/>
  <c r="C870" i="10"/>
  <c r="D870" i="10"/>
  <c r="A871" i="10"/>
  <c r="B871" i="10"/>
  <c r="C871" i="10"/>
  <c r="D871" i="10"/>
  <c r="A872" i="10"/>
  <c r="B872" i="10"/>
  <c r="C872" i="10"/>
  <c r="D872" i="10"/>
  <c r="A873" i="10"/>
  <c r="B873" i="10"/>
  <c r="C873" i="10"/>
  <c r="D873" i="10"/>
  <c r="A874" i="10"/>
  <c r="B874" i="10"/>
  <c r="C874" i="10"/>
  <c r="D874" i="10"/>
  <c r="A875" i="10"/>
  <c r="B875" i="10"/>
  <c r="C875" i="10"/>
  <c r="D875" i="10"/>
  <c r="A876" i="10"/>
  <c r="B876" i="10"/>
  <c r="C876" i="10"/>
  <c r="D876" i="10"/>
  <c r="A877" i="10"/>
  <c r="B877" i="10"/>
  <c r="C877" i="10"/>
  <c r="D877" i="10"/>
  <c r="A878" i="10"/>
  <c r="B878" i="10"/>
  <c r="C878" i="10"/>
  <c r="D878" i="10"/>
  <c r="A879" i="10"/>
  <c r="B879" i="10"/>
  <c r="C879" i="10"/>
  <c r="D879" i="10"/>
  <c r="A880" i="10"/>
  <c r="B880" i="10"/>
  <c r="C880" i="10"/>
  <c r="D880" i="10"/>
  <c r="A881" i="10"/>
  <c r="B881" i="10"/>
  <c r="C881" i="10"/>
  <c r="D881" i="10"/>
  <c r="A882" i="10"/>
  <c r="B882" i="10"/>
  <c r="C882" i="10"/>
  <c r="D882" i="10"/>
  <c r="A883" i="10"/>
  <c r="B883" i="10"/>
  <c r="C883" i="10"/>
  <c r="D883" i="10"/>
  <c r="A884" i="10"/>
  <c r="B884" i="10"/>
  <c r="C884" i="10"/>
  <c r="D884" i="10"/>
  <c r="A885" i="10"/>
  <c r="B885" i="10"/>
  <c r="C885" i="10"/>
  <c r="D885" i="10"/>
  <c r="A886" i="10"/>
  <c r="B886" i="10"/>
  <c r="C886" i="10"/>
  <c r="D886" i="10"/>
  <c r="A887" i="10"/>
  <c r="B887" i="10"/>
  <c r="C887" i="10"/>
  <c r="D887" i="10"/>
  <c r="A888" i="10"/>
  <c r="B888" i="10"/>
  <c r="C888" i="10"/>
  <c r="D888" i="10"/>
  <c r="A889" i="10"/>
  <c r="B889" i="10"/>
  <c r="C889" i="10"/>
  <c r="D889" i="10"/>
  <c r="A890" i="10"/>
  <c r="B890" i="10"/>
  <c r="C890" i="10"/>
  <c r="D890" i="10"/>
  <c r="A891" i="10"/>
  <c r="B891" i="10"/>
  <c r="C891" i="10"/>
  <c r="D891" i="10"/>
  <c r="A892" i="10"/>
  <c r="B892" i="10"/>
  <c r="C892" i="10"/>
  <c r="D892" i="10"/>
  <c r="A893" i="10"/>
  <c r="B893" i="10"/>
  <c r="C893" i="10"/>
  <c r="D893" i="10"/>
  <c r="A894" i="10"/>
  <c r="B894" i="10"/>
  <c r="C894" i="10"/>
  <c r="D894" i="10"/>
  <c r="A895" i="10"/>
  <c r="B895" i="10"/>
  <c r="C895" i="10"/>
  <c r="D895" i="10"/>
  <c r="A896" i="10"/>
  <c r="B896" i="10"/>
  <c r="C896" i="10"/>
  <c r="D896" i="10"/>
  <c r="A897" i="10"/>
  <c r="B897" i="10"/>
  <c r="C897" i="10"/>
  <c r="D897" i="10"/>
  <c r="A898" i="10"/>
  <c r="B898" i="10"/>
  <c r="C898" i="10"/>
  <c r="D898" i="10"/>
  <c r="A899" i="10"/>
  <c r="B899" i="10"/>
  <c r="C899" i="10"/>
  <c r="D899" i="10"/>
  <c r="A900" i="10"/>
  <c r="B900" i="10"/>
  <c r="C900" i="10"/>
  <c r="D900" i="10"/>
  <c r="A901" i="10"/>
  <c r="B901" i="10"/>
  <c r="C901" i="10"/>
  <c r="D901" i="10"/>
  <c r="A902" i="10"/>
  <c r="B902" i="10"/>
  <c r="C902" i="10"/>
  <c r="D902" i="10"/>
  <c r="A903" i="10"/>
  <c r="B903" i="10"/>
  <c r="C903" i="10"/>
  <c r="D903" i="10"/>
  <c r="A904" i="10"/>
  <c r="B904" i="10"/>
  <c r="C904" i="10"/>
  <c r="D904" i="10"/>
  <c r="A905" i="10"/>
  <c r="B905" i="10"/>
  <c r="C905" i="10"/>
  <c r="D905" i="10"/>
  <c r="A906" i="10"/>
  <c r="B906" i="10"/>
  <c r="C906" i="10"/>
  <c r="D906" i="10"/>
  <c r="A907" i="10"/>
  <c r="B907" i="10"/>
  <c r="C907" i="10"/>
  <c r="D907" i="10"/>
  <c r="A908" i="10"/>
  <c r="B908" i="10"/>
  <c r="C908" i="10"/>
  <c r="D908" i="10"/>
  <c r="A909" i="10"/>
  <c r="B909" i="10"/>
  <c r="C909" i="10"/>
  <c r="D909" i="10"/>
  <c r="A910" i="10"/>
  <c r="B910" i="10"/>
  <c r="C910" i="10"/>
  <c r="D910" i="10"/>
  <c r="A911" i="10"/>
  <c r="B911" i="10"/>
  <c r="C911" i="10"/>
  <c r="D911" i="10"/>
  <c r="A912" i="10"/>
  <c r="B912" i="10"/>
  <c r="C912" i="10"/>
  <c r="D912" i="10"/>
  <c r="A913" i="10"/>
  <c r="B913" i="10"/>
  <c r="C913" i="10"/>
  <c r="D913" i="10"/>
  <c r="A914" i="10"/>
  <c r="B914" i="10"/>
  <c r="C914" i="10"/>
  <c r="D914" i="10"/>
  <c r="A915" i="10"/>
  <c r="B915" i="10"/>
  <c r="C915" i="10"/>
  <c r="D915" i="10"/>
  <c r="A916" i="10"/>
  <c r="B916" i="10"/>
  <c r="C916" i="10"/>
  <c r="D916" i="10"/>
  <c r="A917" i="10"/>
  <c r="B917" i="10"/>
  <c r="C917" i="10"/>
  <c r="D917" i="10"/>
  <c r="A918" i="10"/>
  <c r="B918" i="10"/>
  <c r="C918" i="10"/>
  <c r="D918" i="10"/>
  <c r="A919" i="10"/>
  <c r="B919" i="10"/>
  <c r="C919" i="10"/>
  <c r="D919" i="10"/>
  <c r="A920" i="10"/>
  <c r="B920" i="10"/>
  <c r="C920" i="10"/>
  <c r="D920" i="10"/>
  <c r="A921" i="10"/>
  <c r="B921" i="10"/>
  <c r="C921" i="10"/>
  <c r="D921" i="10"/>
  <c r="A922" i="10"/>
  <c r="B922" i="10"/>
  <c r="C922" i="10"/>
  <c r="D922" i="10"/>
  <c r="A923" i="10"/>
  <c r="B923" i="10"/>
  <c r="C923" i="10"/>
  <c r="D923" i="10"/>
  <c r="A924" i="10"/>
  <c r="B924" i="10"/>
  <c r="C924" i="10"/>
  <c r="D924" i="10"/>
  <c r="A925" i="10"/>
  <c r="B925" i="10"/>
  <c r="C925" i="10"/>
  <c r="D925" i="10"/>
  <c r="A926" i="10"/>
  <c r="B926" i="10"/>
  <c r="C926" i="10"/>
  <c r="D926" i="10"/>
  <c r="A927" i="10"/>
  <c r="B927" i="10"/>
  <c r="C927" i="10"/>
  <c r="D927" i="10"/>
  <c r="A928" i="10"/>
  <c r="B928" i="10"/>
  <c r="C928" i="10"/>
  <c r="D928" i="10"/>
  <c r="A929" i="10"/>
  <c r="B929" i="10"/>
  <c r="C929" i="10"/>
  <c r="D929" i="10"/>
  <c r="A930" i="10"/>
  <c r="B930" i="10"/>
  <c r="C930" i="10"/>
  <c r="D930" i="10"/>
  <c r="A931" i="10"/>
  <c r="B931" i="10"/>
  <c r="C931" i="10"/>
  <c r="D931" i="10"/>
  <c r="A932" i="10"/>
  <c r="B932" i="10"/>
  <c r="C932" i="10"/>
  <c r="D932" i="10"/>
  <c r="A933" i="10"/>
  <c r="B933" i="10"/>
  <c r="C933" i="10"/>
  <c r="D933" i="10"/>
  <c r="A934" i="10"/>
  <c r="B934" i="10"/>
  <c r="C934" i="10"/>
  <c r="D934" i="10"/>
  <c r="A935" i="10"/>
  <c r="B935" i="10"/>
  <c r="C935" i="10"/>
  <c r="D935" i="10"/>
  <c r="A936" i="10"/>
  <c r="B936" i="10"/>
  <c r="C936" i="10"/>
  <c r="D936" i="10"/>
  <c r="A937" i="10"/>
  <c r="B937" i="10"/>
  <c r="C937" i="10"/>
  <c r="D937" i="10"/>
  <c r="A938" i="10"/>
  <c r="B938" i="10"/>
  <c r="C938" i="10"/>
  <c r="D938" i="10"/>
  <c r="A939" i="10"/>
  <c r="B939" i="10"/>
  <c r="C939" i="10"/>
  <c r="D939" i="10"/>
  <c r="A940" i="10"/>
  <c r="B940" i="10"/>
  <c r="C940" i="10"/>
  <c r="D940" i="10"/>
  <c r="A941" i="10"/>
  <c r="B941" i="10"/>
  <c r="C941" i="10"/>
  <c r="D941" i="10"/>
  <c r="A942" i="10"/>
  <c r="B942" i="10"/>
  <c r="C942" i="10"/>
  <c r="D942" i="10"/>
  <c r="A943" i="10"/>
  <c r="B943" i="10"/>
  <c r="C943" i="10"/>
  <c r="D943" i="10"/>
  <c r="A944" i="10"/>
  <c r="B944" i="10"/>
  <c r="C944" i="10"/>
  <c r="D944" i="10"/>
  <c r="A945" i="10"/>
  <c r="B945" i="10"/>
  <c r="C945" i="10"/>
  <c r="D945" i="10"/>
  <c r="A946" i="10"/>
  <c r="B946" i="10"/>
  <c r="C946" i="10"/>
  <c r="D946" i="10"/>
  <c r="A947" i="10"/>
  <c r="B947" i="10"/>
  <c r="C947" i="10"/>
  <c r="D947" i="10"/>
  <c r="A948" i="10"/>
  <c r="B948" i="10"/>
  <c r="C948" i="10"/>
  <c r="D948" i="10"/>
  <c r="A949" i="10"/>
  <c r="B949" i="10"/>
  <c r="C949" i="10"/>
  <c r="D949" i="10"/>
  <c r="A950" i="10"/>
  <c r="B950" i="10"/>
  <c r="C950" i="10"/>
  <c r="D950" i="10"/>
  <c r="A951" i="10"/>
  <c r="B951" i="10"/>
  <c r="C951" i="10"/>
  <c r="D951" i="10"/>
  <c r="A952" i="10"/>
  <c r="B952" i="10"/>
  <c r="C952" i="10"/>
  <c r="D952" i="10"/>
  <c r="A953" i="10"/>
  <c r="B953" i="10"/>
  <c r="C953" i="10"/>
  <c r="D953" i="10"/>
  <c r="A954" i="10"/>
  <c r="B954" i="10"/>
  <c r="C954" i="10"/>
  <c r="D954" i="10"/>
  <c r="A955" i="10"/>
  <c r="B955" i="10"/>
  <c r="C955" i="10"/>
  <c r="D955" i="10"/>
  <c r="A956" i="10"/>
  <c r="B956" i="10"/>
  <c r="C956" i="10"/>
  <c r="D956" i="10"/>
  <c r="A957" i="10"/>
  <c r="B957" i="10"/>
  <c r="C957" i="10"/>
  <c r="D957" i="10"/>
  <c r="A958" i="10"/>
  <c r="B958" i="10"/>
  <c r="C958" i="10"/>
  <c r="D958" i="10"/>
  <c r="A959" i="10"/>
  <c r="B959" i="10"/>
  <c r="C959" i="10"/>
  <c r="D959" i="10"/>
  <c r="A960" i="10"/>
  <c r="B960" i="10"/>
  <c r="C960" i="10"/>
  <c r="D960" i="10"/>
  <c r="A961" i="10"/>
  <c r="B961" i="10"/>
  <c r="C961" i="10"/>
  <c r="D961" i="10"/>
  <c r="A962" i="10"/>
  <c r="B962" i="10"/>
  <c r="C962" i="10"/>
  <c r="D962" i="10"/>
  <c r="A963" i="10"/>
  <c r="B963" i="10"/>
  <c r="C963" i="10"/>
  <c r="D963" i="10"/>
  <c r="A964" i="10"/>
  <c r="B964" i="10"/>
  <c r="C964" i="10"/>
  <c r="D964" i="10"/>
  <c r="A965" i="10"/>
  <c r="B965" i="10"/>
  <c r="C965" i="10"/>
  <c r="D965" i="10"/>
  <c r="A966" i="10"/>
  <c r="B966" i="10"/>
  <c r="C966" i="10"/>
  <c r="D966" i="10"/>
  <c r="A967" i="10"/>
  <c r="B967" i="10"/>
  <c r="C967" i="10"/>
  <c r="D967" i="10"/>
  <c r="A968" i="10"/>
  <c r="B968" i="10"/>
  <c r="C968" i="10"/>
  <c r="D968" i="10"/>
  <c r="A969" i="10"/>
  <c r="B969" i="10"/>
  <c r="C969" i="10"/>
  <c r="D969" i="10"/>
  <c r="A970" i="10"/>
  <c r="B970" i="10"/>
  <c r="C970" i="10"/>
  <c r="D970" i="10"/>
  <c r="A971" i="10"/>
  <c r="B971" i="10"/>
  <c r="C971" i="10"/>
  <c r="D971" i="10"/>
  <c r="A972" i="10"/>
  <c r="B972" i="10"/>
  <c r="C972" i="10"/>
  <c r="D972" i="10"/>
  <c r="A973" i="10"/>
  <c r="B973" i="10"/>
  <c r="C973" i="10"/>
  <c r="D973" i="10"/>
  <c r="A974" i="10"/>
  <c r="B974" i="10"/>
  <c r="C974" i="10"/>
  <c r="D974" i="10"/>
  <c r="A975" i="10"/>
  <c r="B975" i="10"/>
  <c r="C975" i="10"/>
  <c r="D975" i="10"/>
  <c r="A976" i="10"/>
  <c r="B976" i="10"/>
  <c r="C976" i="10"/>
  <c r="D976" i="10"/>
  <c r="A977" i="10"/>
  <c r="B977" i="10"/>
  <c r="C977" i="10"/>
  <c r="D977" i="10"/>
  <c r="A978" i="10"/>
  <c r="B978" i="10"/>
  <c r="C978" i="10"/>
  <c r="D978" i="10"/>
  <c r="A979" i="10"/>
  <c r="B979" i="10"/>
  <c r="C979" i="10"/>
  <c r="D979" i="10"/>
  <c r="A980" i="10"/>
  <c r="B980" i="10"/>
  <c r="C980" i="10"/>
  <c r="D980" i="10"/>
  <c r="A981" i="10"/>
  <c r="B981" i="10"/>
  <c r="C981" i="10"/>
  <c r="D981" i="10"/>
  <c r="A982" i="10"/>
  <c r="B982" i="10"/>
  <c r="C982" i="10"/>
  <c r="D982" i="10"/>
  <c r="A983" i="10"/>
  <c r="B983" i="10"/>
  <c r="C983" i="10"/>
  <c r="D983" i="10"/>
  <c r="A984" i="10"/>
  <c r="B984" i="10"/>
  <c r="C984" i="10"/>
  <c r="D984" i="10"/>
  <c r="A985" i="10"/>
  <c r="B985" i="10"/>
  <c r="C985" i="10"/>
  <c r="D985" i="10"/>
  <c r="A986" i="10"/>
  <c r="B986" i="10"/>
  <c r="C986" i="10"/>
  <c r="D986" i="10"/>
  <c r="A987" i="10"/>
  <c r="B987" i="10"/>
  <c r="C987" i="10"/>
  <c r="D987" i="10"/>
  <c r="A988" i="10"/>
  <c r="B988" i="10"/>
  <c r="C988" i="10"/>
  <c r="D988" i="10"/>
  <c r="A989" i="10"/>
  <c r="B989" i="10"/>
  <c r="C989" i="10"/>
  <c r="D989" i="10"/>
  <c r="A990" i="10"/>
  <c r="B990" i="10"/>
  <c r="C990" i="10"/>
  <c r="D990" i="10"/>
  <c r="A991" i="10"/>
  <c r="B991" i="10"/>
  <c r="C991" i="10"/>
  <c r="D991" i="10"/>
  <c r="A992" i="10"/>
  <c r="B992" i="10"/>
  <c r="C992" i="10"/>
  <c r="D992" i="10"/>
  <c r="A993" i="10"/>
  <c r="B993" i="10"/>
  <c r="C993" i="10"/>
  <c r="D993" i="10"/>
  <c r="A994" i="10"/>
  <c r="B994" i="10"/>
  <c r="C994" i="10"/>
  <c r="D994" i="10"/>
  <c r="A995" i="10"/>
  <c r="B995" i="10"/>
  <c r="C995" i="10"/>
  <c r="D995" i="10"/>
  <c r="A996" i="10"/>
  <c r="B996" i="10"/>
  <c r="C996" i="10"/>
  <c r="D996" i="10"/>
  <c r="A997" i="10"/>
  <c r="B997" i="10"/>
  <c r="C997" i="10"/>
  <c r="D997" i="10"/>
  <c r="A998" i="10"/>
  <c r="B998" i="10"/>
  <c r="C998" i="10"/>
  <c r="D998" i="10"/>
  <c r="A999" i="10"/>
  <c r="B999" i="10"/>
  <c r="C999" i="10"/>
  <c r="D999" i="10"/>
  <c r="A1000" i="10"/>
  <c r="B1000" i="10"/>
  <c r="C1000" i="10"/>
  <c r="D1000" i="10"/>
  <c r="A1001" i="10"/>
  <c r="B1001" i="10"/>
  <c r="C1001" i="10"/>
  <c r="D1001" i="10"/>
  <c r="A1002" i="10"/>
  <c r="B1002" i="10"/>
  <c r="C1002" i="10"/>
  <c r="D1002" i="10"/>
  <c r="A1003" i="10"/>
  <c r="B1003" i="10"/>
  <c r="C1003" i="10"/>
  <c r="D1003" i="10"/>
  <c r="A1004" i="10"/>
  <c r="B1004" i="10"/>
  <c r="C1004" i="10"/>
  <c r="D1004" i="10"/>
  <c r="A1005" i="10"/>
  <c r="B1005" i="10"/>
  <c r="C1005" i="10"/>
  <c r="D1005" i="10"/>
  <c r="B5" i="10"/>
  <c r="C5" i="10"/>
  <c r="D5" i="10"/>
  <c r="A5" i="10"/>
  <c r="A15" i="7"/>
  <c r="A12" i="7"/>
  <c r="A8" i="7"/>
  <c r="A4" i="8"/>
  <c r="D5" i="7"/>
  <c r="E5" i="7"/>
  <c r="F5" i="7"/>
  <c r="G5" i="7"/>
  <c r="H5" i="7"/>
  <c r="I5" i="7"/>
  <c r="J5" i="7"/>
  <c r="K5" i="7"/>
  <c r="L5" i="7"/>
  <c r="M5" i="7"/>
  <c r="N5" i="7"/>
  <c r="C5" i="7"/>
  <c r="E12" i="7" l="1"/>
  <c r="D12" i="7"/>
  <c r="C12" i="7"/>
  <c r="O11" i="7" l="1"/>
  <c r="N11" i="7"/>
  <c r="M11" i="7"/>
  <c r="L11" i="7"/>
  <c r="K11" i="7"/>
  <c r="J11" i="7"/>
  <c r="I11" i="7"/>
  <c r="H11" i="7"/>
  <c r="G11" i="7"/>
  <c r="F11" i="7"/>
  <c r="E11" i="7"/>
  <c r="D11" i="7"/>
  <c r="C11" i="7"/>
  <c r="C9" i="7"/>
  <c r="O7" i="7"/>
  <c r="N7" i="7"/>
  <c r="M7" i="7"/>
  <c r="L7" i="7"/>
  <c r="K7" i="7"/>
  <c r="J7" i="7"/>
  <c r="I7" i="7"/>
  <c r="H7" i="7"/>
  <c r="G7" i="7"/>
  <c r="F7" i="7"/>
  <c r="E7" i="7"/>
  <c r="D7" i="7"/>
  <c r="C7" i="7"/>
  <c r="D9" i="7" l="1"/>
  <c r="E9" i="7" s="1"/>
  <c r="O8" i="7"/>
  <c r="F9" i="7" l="1"/>
  <c r="G9" i="7" s="1"/>
  <c r="H9" i="7" s="1"/>
  <c r="I9" i="7" s="1"/>
  <c r="J9" i="7" s="1"/>
  <c r="K9" i="7" s="1"/>
  <c r="L9" i="7" s="1"/>
  <c r="M9" i="7" s="1"/>
  <c r="N9" i="7" s="1"/>
  <c r="B7" i="8"/>
  <c r="D13" i="7" l="1"/>
  <c r="C13" i="7"/>
  <c r="O5" i="7"/>
  <c r="N13" i="7" l="1"/>
  <c r="I13" i="7" l="1"/>
  <c r="E13" i="7"/>
  <c r="K13" i="7"/>
  <c r="M13" i="7"/>
  <c r="L13" i="7"/>
  <c r="O12" i="7"/>
  <c r="G13" i="7"/>
  <c r="J13" i="7"/>
  <c r="F13" i="7"/>
  <c r="H13" i="7"/>
  <c r="B8" i="8" l="1"/>
  <c r="C7" i="8" s="1"/>
  <c r="C8" i="8" s="1"/>
</calcChain>
</file>

<file path=xl/sharedStrings.xml><?xml version="1.0" encoding="utf-8"?>
<sst xmlns="http://schemas.openxmlformats.org/spreadsheetml/2006/main" count="113" uniqueCount="86">
  <si>
    <t>cod</t>
  </si>
  <si>
    <t>date</t>
  </si>
  <si>
    <t>client</t>
  </si>
  <si>
    <t>amount</t>
  </si>
  <si>
    <t>Client 1</t>
  </si>
  <si>
    <t>Client 2</t>
  </si>
  <si>
    <t>Client 3</t>
  </si>
  <si>
    <t>Client 4</t>
  </si>
  <si>
    <t>Client 5</t>
  </si>
  <si>
    <t>Client 6</t>
  </si>
  <si>
    <t>Client 7</t>
  </si>
  <si>
    <t>dt0</t>
  </si>
  <si>
    <t>Year:</t>
  </si>
  <si>
    <t>Client 8</t>
  </si>
  <si>
    <t>Budget</t>
  </si>
  <si>
    <t>Premisses</t>
  </si>
  <si>
    <t>to date</t>
  </si>
  <si>
    <t>Company</t>
  </si>
  <si>
    <t>Actual last month:</t>
  </si>
  <si>
    <t>Dashboard</t>
  </si>
  <si>
    <t>Budget year sales</t>
  </si>
  <si>
    <t>Base by month</t>
  </si>
  <si>
    <t>Total</t>
  </si>
  <si>
    <t>monthly</t>
  </si>
  <si>
    <t>Obs:</t>
  </si>
  <si>
    <t>Budget sales adption curve is linear</t>
  </si>
  <si>
    <t>Actual</t>
  </si>
  <si>
    <t>CalcByMonth</t>
  </si>
  <si>
    <t>Sum</t>
  </si>
  <si>
    <t>CalcTodate</t>
  </si>
  <si>
    <t>Excelent</t>
  </si>
  <si>
    <t>Pointer</t>
  </si>
  <si>
    <t>Share</t>
  </si>
  <si>
    <t>Label</t>
  </si>
  <si>
    <t>To date</t>
  </si>
  <si>
    <t>Below</t>
  </si>
  <si>
    <t>Above</t>
  </si>
  <si>
    <t>Problem</t>
  </si>
  <si>
    <t>Database imported from webservice</t>
  </si>
  <si>
    <t>1-Excel/2-Wservice</t>
  </si>
  <si>
    <t>Database</t>
  </si>
  <si>
    <t>Database inputed here in Excel</t>
  </si>
  <si>
    <t>Total Geral</t>
  </si>
  <si>
    <t>Clients</t>
  </si>
  <si>
    <t>Paramaters</t>
  </si>
  <si>
    <t>Source: CalcByMonth</t>
  </si>
  <si>
    <t>Source: Db</t>
  </si>
  <si>
    <t>Example Services Ltd.</t>
  </si>
  <si>
    <t>Help</t>
  </si>
  <si>
    <t>Content:</t>
  </si>
  <si>
    <t>Param</t>
  </si>
  <si>
    <t>CalcByClient</t>
  </si>
  <si>
    <t>CalcToDate</t>
  </si>
  <si>
    <t>Db</t>
  </si>
  <si>
    <t>DbExcel</t>
  </si>
  <si>
    <t>DbWservice</t>
  </si>
  <si>
    <t>This info</t>
  </si>
  <si>
    <t>Dash</t>
  </si>
  <si>
    <t>Dashboard graphics</t>
  </si>
  <si>
    <t>Parameters and premisses</t>
  </si>
  <si>
    <t>CalcMonth</t>
  </si>
  <si>
    <t>Calculation for dashboard sales by client chart</t>
  </si>
  <si>
    <t>Calculation for dashbard mohthly sales chart</t>
  </si>
  <si>
    <t>Calculationn for dahboard Budget xActual metter</t>
  </si>
  <si>
    <t>Accorging to parameters, channels DbExcel or DbWservice to dashboard</t>
  </si>
  <si>
    <t>Database manually inputed</t>
  </si>
  <si>
    <t>Database imported from webservice by VBA script in the "Import" button</t>
  </si>
  <si>
    <t>Curves</t>
  </si>
  <si>
    <t>a</t>
  </si>
  <si>
    <t>b</t>
  </si>
  <si>
    <t>c</t>
  </si>
  <si>
    <t>Curve</t>
  </si>
  <si>
    <t>Description</t>
  </si>
  <si>
    <t>Parameters curve 1</t>
  </si>
  <si>
    <t>S logistic</t>
  </si>
  <si>
    <t>S logistic,0% to 100% in 12m</t>
  </si>
  <si>
    <t>k = the steepness of the curve.[1]</t>
  </si>
  <si>
    <t>F(x) = L/(1+EXP(-k*(x-x0))</t>
  </si>
  <si>
    <t>1 to date</t>
  </si>
  <si>
    <r>
      <t>x0</t>
    </r>
    <r>
      <rPr>
        <sz val="11"/>
        <color rgb="FF222222"/>
        <rFont val="Calibri"/>
        <family val="2"/>
        <scheme val="minor"/>
      </rPr>
      <t>= the </t>
    </r>
    <r>
      <rPr>
        <i/>
        <sz val="11"/>
        <color rgb="FF222222"/>
        <rFont val="Calibri"/>
        <family val="2"/>
        <scheme val="minor"/>
      </rPr>
      <t>x</t>
    </r>
    <r>
      <rPr>
        <sz val="11"/>
        <color rgb="FF222222"/>
        <rFont val="Calibri"/>
        <family val="2"/>
        <scheme val="minor"/>
      </rPr>
      <t>-value of the sigmoid's midpoint,</t>
    </r>
  </si>
  <si>
    <r>
      <t>L</t>
    </r>
    <r>
      <rPr>
        <sz val="11"/>
        <color rgb="FF222222"/>
        <rFont val="Calibri"/>
        <family val="2"/>
        <scheme val="minor"/>
      </rPr>
      <t> = the curve's maximum value, and</t>
    </r>
  </si>
  <si>
    <t>Formula</t>
  </si>
  <si>
    <t>Adoption curve</t>
  </si>
  <si>
    <t>(*)Month base</t>
  </si>
  <si>
    <t>(+)Initial</t>
  </si>
  <si>
    <t>Monthly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</si>
</sst>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mm/dd/yy;@"/>
    <numFmt numFmtId="165" formatCode="_(* #,##0_);_(* \(#,##0\);_(* &quot;-&quot;??_);_(@_)"/>
    <numFmt numFmtId="167" formatCode="#,##0_ ;[Red]\-#,##0\ 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i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0" fontId="0" fillId="2" borderId="0" xfId="0" applyFill="1" applyAlignment="1"/>
    <xf numFmtId="0" fontId="4" fillId="2" borderId="0" xfId="0" applyFont="1" applyFill="1"/>
    <xf numFmtId="0" fontId="2" fillId="2" borderId="0" xfId="0" applyFont="1" applyFill="1"/>
    <xf numFmtId="0" fontId="0" fillId="3" borderId="0" xfId="0" applyFill="1"/>
    <xf numFmtId="0" fontId="5" fillId="2" borderId="0" xfId="0" applyFont="1" applyFill="1"/>
    <xf numFmtId="0" fontId="0" fillId="2" borderId="0" xfId="0" applyFont="1" applyFill="1" applyAlignment="1">
      <alignment horizontal="left" indent="1"/>
    </xf>
    <xf numFmtId="0" fontId="0" fillId="2" borderId="0" xfId="0" applyFill="1" applyAlignment="1">
      <alignment horizontal="left" indent="1"/>
    </xf>
    <xf numFmtId="0" fontId="2" fillId="2" borderId="0" xfId="0" applyNumberFormat="1" applyFont="1" applyFill="1"/>
    <xf numFmtId="43" fontId="0" fillId="3" borderId="0" xfId="1" applyFont="1" applyFill="1" applyAlignment="1">
      <alignment horizontal="center"/>
    </xf>
    <xf numFmtId="0" fontId="0" fillId="3" borderId="0" xfId="0" applyFill="1" applyAlignment="1"/>
    <xf numFmtId="0" fontId="6" fillId="2" borderId="0" xfId="0" applyFont="1" applyFill="1"/>
    <xf numFmtId="0" fontId="0" fillId="2" borderId="0" xfId="0" applyFill="1" applyAlignment="1">
      <alignment horizontal="left"/>
    </xf>
    <xf numFmtId="0" fontId="3" fillId="2" borderId="0" xfId="0" applyFont="1" applyFill="1"/>
    <xf numFmtId="0" fontId="2" fillId="2" borderId="1" xfId="0" applyFont="1" applyFill="1" applyBorder="1"/>
    <xf numFmtId="0" fontId="0" fillId="2" borderId="1" xfId="0" applyFill="1" applyBorder="1"/>
    <xf numFmtId="0" fontId="0" fillId="2" borderId="0" xfId="0" applyFill="1" applyBorder="1"/>
    <xf numFmtId="9" fontId="0" fillId="2" borderId="0" xfId="2" applyFont="1" applyFill="1" applyBorder="1"/>
    <xf numFmtId="10" fontId="0" fillId="2" borderId="0" xfId="2" applyNumberFormat="1" applyFont="1" applyFill="1" applyBorder="1"/>
    <xf numFmtId="43" fontId="0" fillId="2" borderId="0" xfId="1" applyFont="1" applyFill="1" applyBorder="1"/>
    <xf numFmtId="9" fontId="0" fillId="2" borderId="0" xfId="0" applyNumberFormat="1" applyFill="1" applyBorder="1"/>
    <xf numFmtId="0" fontId="0" fillId="2" borderId="2" xfId="0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10" fontId="0" fillId="2" borderId="1" xfId="2" applyNumberFormat="1" applyFont="1" applyFill="1" applyBorder="1"/>
    <xf numFmtId="0" fontId="0" fillId="2" borderId="8" xfId="0" applyFill="1" applyBorder="1"/>
    <xf numFmtId="14" fontId="2" fillId="2" borderId="0" xfId="0" applyNumberFormat="1" applyFont="1" applyFill="1"/>
    <xf numFmtId="43" fontId="2" fillId="2" borderId="0" xfId="1" applyFont="1" applyFill="1"/>
    <xf numFmtId="14" fontId="0" fillId="2" borderId="0" xfId="0" applyNumberFormat="1" applyFill="1"/>
    <xf numFmtId="0" fontId="4" fillId="0" borderId="0" xfId="0" applyFont="1" applyFill="1"/>
    <xf numFmtId="0" fontId="0" fillId="0" borderId="0" xfId="0" applyFill="1"/>
    <xf numFmtId="0" fontId="2" fillId="0" borderId="0" xfId="0" applyFont="1" applyFill="1"/>
    <xf numFmtId="14" fontId="2" fillId="0" borderId="0" xfId="0" applyNumberFormat="1" applyFont="1" applyFill="1"/>
    <xf numFmtId="43" fontId="2" fillId="0" borderId="0" xfId="1" applyFont="1" applyFill="1"/>
    <xf numFmtId="43" fontId="0" fillId="2" borderId="0" xfId="1" applyFont="1" applyFill="1"/>
    <xf numFmtId="43" fontId="1" fillId="2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2" borderId="0" xfId="1" applyNumberFormat="1" applyFont="1" applyFill="1"/>
    <xf numFmtId="165" fontId="0" fillId="0" borderId="0" xfId="0" applyNumberFormat="1"/>
    <xf numFmtId="43" fontId="0" fillId="0" borderId="0" xfId="1" applyFont="1" applyFill="1"/>
    <xf numFmtId="14" fontId="0" fillId="0" borderId="0" xfId="0" applyNumberFormat="1"/>
    <xf numFmtId="0" fontId="0" fillId="2" borderId="0" xfId="0" applyFont="1" applyFill="1"/>
    <xf numFmtId="43" fontId="0" fillId="2" borderId="0" xfId="0" applyNumberFormat="1" applyFont="1" applyFill="1"/>
    <xf numFmtId="0" fontId="0" fillId="2" borderId="0" xfId="0" applyFont="1" applyFill="1" applyAlignment="1"/>
    <xf numFmtId="0" fontId="2" fillId="2" borderId="0" xfId="0" applyFont="1" applyFill="1" applyBorder="1" applyAlignment="1">
      <alignment vertical="center"/>
    </xf>
    <xf numFmtId="167" fontId="2" fillId="2" borderId="0" xfId="0" applyNumberFormat="1" applyFont="1" applyFill="1" applyBorder="1"/>
    <xf numFmtId="0" fontId="8" fillId="2" borderId="0" xfId="0" applyFont="1" applyFill="1"/>
    <xf numFmtId="43" fontId="8" fillId="2" borderId="0" xfId="1" applyFont="1" applyFill="1"/>
    <xf numFmtId="0" fontId="9" fillId="2" borderId="0" xfId="0" applyFont="1" applyFill="1" applyAlignment="1">
      <alignment vertical="center"/>
    </xf>
    <xf numFmtId="0" fontId="0" fillId="2" borderId="0" xfId="0" applyNumberFormat="1" applyFont="1" applyFill="1"/>
    <xf numFmtId="0" fontId="0" fillId="2" borderId="0" xfId="0" applyNumberFormat="1" applyFont="1" applyFill="1" applyAlignment="1">
      <alignment horizontal="right"/>
    </xf>
    <xf numFmtId="164" fontId="0" fillId="2" borderId="0" xfId="0" applyNumberFormat="1" applyFont="1" applyFill="1"/>
    <xf numFmtId="0" fontId="0" fillId="2" borderId="0" xfId="1" applyNumberFormat="1" applyFont="1" applyFill="1"/>
    <xf numFmtId="0" fontId="0" fillId="2" borderId="0" xfId="0" applyNumberFormat="1" applyFont="1" applyFill="1" applyAlignment="1">
      <alignment horizontal="left" indent="1"/>
    </xf>
    <xf numFmtId="165" fontId="0" fillId="2" borderId="0" xfId="0" applyNumberFormat="1" applyFont="1" applyFill="1"/>
  </cellXfs>
  <cellStyles count="3">
    <cellStyle name="Normal" xfId="0" builtinId="0"/>
    <cellStyle name="Porcentagem" xfId="2" builtinId="5"/>
    <cellStyle name="Vírgula" xfId="1" builtinId="3"/>
  </cellStyles>
  <dxfs count="6"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6" formatCode="_(* #,##0.0_);_(* \(#,##0.0\);_(* &quot;-&quot;??_);_(@_)"/>
    </dxf>
    <dxf>
      <numFmt numFmtId="166" formatCode="_(* #,##0.0_);_(* \(#,##0.0\);_(* &quot;-&quot;??_);_(@_)"/>
    </dxf>
    <dxf>
      <numFmt numFmtId="166" formatCode="_(* #,##0.0_);_(* \(#,##0.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CalcMonth!$A$8</c:f>
          <c:strCache>
            <c:ptCount val="1"/>
            <c:pt idx="0">
              <c:v>2017 sales by month</c:v>
            </c:pt>
          </c:strCache>
        </c:strRef>
      </c:tx>
      <c:layout>
        <c:manualLayout>
          <c:xMode val="edge"/>
          <c:yMode val="edge"/>
          <c:x val="0.36585411198600176"/>
          <c:y val="3.14960629921259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CalcMonth!$A$11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CalcMonth!$C$12:$N$12</c:f>
              <c:numCache>
                <c:formatCode>_(* #,##0_);_(* \(#,##0\);_(* "-"??_);_(@_)</c:formatCode>
                <c:ptCount val="12"/>
                <c:pt idx="0">
                  <c:v>10300</c:v>
                </c:pt>
                <c:pt idx="1">
                  <c:v>10900</c:v>
                </c:pt>
                <c:pt idx="2">
                  <c:v>11200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9-4321-8364-6C6ABFD64F7A}"/>
            </c:ext>
          </c:extLst>
        </c:ser>
        <c:ser>
          <c:idx val="1"/>
          <c:order val="1"/>
          <c:tx>
            <c:strRef>
              <c:f>CalcMonth!$A$7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CalcMonth!$C$8:$N$8</c:f>
              <c:numCache>
                <c:formatCode>_(* #,##0_);_(* \(#,##0\);_(* "-"??_);_(@_)</c:formatCode>
                <c:ptCount val="12"/>
                <c:pt idx="0">
                  <c:v>10066.928509242849</c:v>
                </c:pt>
                <c:pt idx="1">
                  <c:v>10179.862099620916</c:v>
                </c:pt>
                <c:pt idx="2">
                  <c:v>10474.258731775668</c:v>
                </c:pt>
                <c:pt idx="3">
                  <c:v>11192.029220221175</c:v>
                </c:pt>
                <c:pt idx="4">
                  <c:v>12689.414213699951</c:v>
                </c:pt>
                <c:pt idx="5">
                  <c:v>15000</c:v>
                </c:pt>
                <c:pt idx="6">
                  <c:v>17310.585786300049</c:v>
                </c:pt>
                <c:pt idx="7">
                  <c:v>18807.970779778821</c:v>
                </c:pt>
                <c:pt idx="8">
                  <c:v>19525.741268224334</c:v>
                </c:pt>
                <c:pt idx="9">
                  <c:v>19820.137900379086</c:v>
                </c:pt>
                <c:pt idx="10">
                  <c:v>19933.071490757153</c:v>
                </c:pt>
                <c:pt idx="11">
                  <c:v>19975.273768433653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27-4A25-8691-94FD59DF3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683416"/>
        <c:axId val="428680792"/>
      </c:lineChart>
      <c:catAx>
        <c:axId val="428683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80792"/>
        <c:crosses val="autoZero"/>
        <c:auto val="1"/>
        <c:lblAlgn val="ctr"/>
        <c:lblOffset val="100"/>
        <c:noMultiLvlLbl val="0"/>
      </c:catAx>
      <c:valAx>
        <c:axId val="42868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83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CalcMonth!$A$12</c:f>
          <c:strCache>
            <c:ptCount val="1"/>
            <c:pt idx="0">
              <c:v>2017 sales by to date</c:v>
            </c:pt>
          </c:strCache>
        </c:strRef>
      </c:tx>
      <c:layout>
        <c:manualLayout>
          <c:xMode val="edge"/>
          <c:yMode val="edge"/>
          <c:x val="0.36585411198600176"/>
          <c:y val="3.14960629921259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CalcMonth!$A$11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CalcMonth!$C$13:$N$13</c:f>
              <c:numCache>
                <c:formatCode>_(* #,##0_);_(* \(#,##0\);_(* "-"??_);_(@_)</c:formatCode>
                <c:ptCount val="12"/>
                <c:pt idx="0">
                  <c:v>10300</c:v>
                </c:pt>
                <c:pt idx="1">
                  <c:v>21200</c:v>
                </c:pt>
                <c:pt idx="2">
                  <c:v>32400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E9-4C35-A728-16F4274E5EF0}"/>
            </c:ext>
          </c:extLst>
        </c:ser>
        <c:ser>
          <c:idx val="1"/>
          <c:order val="1"/>
          <c:tx>
            <c:strRef>
              <c:f>CalcMonth!$A$7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CalcMonth!$C$9:$N$9</c:f>
              <c:numCache>
                <c:formatCode>_(* #,##0_);_(* \(#,##0\);_(* "-"??_);_(@_)</c:formatCode>
                <c:ptCount val="12"/>
                <c:pt idx="0">
                  <c:v>10066.928509242849</c:v>
                </c:pt>
                <c:pt idx="1">
                  <c:v>20246.790608863765</c:v>
                </c:pt>
                <c:pt idx="2">
                  <c:v>30721.049340639431</c:v>
                </c:pt>
                <c:pt idx="3">
                  <c:v>41913.078560860609</c:v>
                </c:pt>
                <c:pt idx="4">
                  <c:v>54602.49277456056</c:v>
                </c:pt>
                <c:pt idx="5">
                  <c:v>69602.492774560553</c:v>
                </c:pt>
                <c:pt idx="6">
                  <c:v>86913.078560860595</c:v>
                </c:pt>
                <c:pt idx="7">
                  <c:v>105721.04934063941</c:v>
                </c:pt>
                <c:pt idx="8">
                  <c:v>125246.79060886374</c:v>
                </c:pt>
                <c:pt idx="9">
                  <c:v>145066.92850924283</c:v>
                </c:pt>
                <c:pt idx="10">
                  <c:v>165000</c:v>
                </c:pt>
                <c:pt idx="11">
                  <c:v>184975.27376843366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E9-4C35-A728-16F4274E5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683416"/>
        <c:axId val="428680792"/>
      </c:lineChart>
      <c:catAx>
        <c:axId val="428683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80792"/>
        <c:crosses val="autoZero"/>
        <c:auto val="1"/>
        <c:lblAlgn val="ctr"/>
        <c:lblOffset val="100"/>
        <c:noMultiLvlLbl val="0"/>
      </c:catAx>
      <c:valAx>
        <c:axId val="42868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83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CalcTodate!$A$4</c:f>
          <c:strCache>
            <c:ptCount val="1"/>
            <c:pt idx="0">
              <c:v>2017 budget x actual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26104158032877"/>
          <c:y val="0.21415701415701416"/>
          <c:w val="0.4439017543859648"/>
          <c:h val="0.78584298584298584"/>
        </c:manualLayout>
      </c:layout>
      <c:doughnutChart>
        <c:varyColors val="1"/>
        <c:ser>
          <c:idx val="1"/>
          <c:order val="0"/>
          <c:spPr>
            <a:noFill/>
            <a:ln>
              <a:solidFill>
                <a:schemeClr val="tx1"/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CBDD-4EFA-8D64-DB175B8744C8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9BC-4A03-A250-76175AB1BA2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9BC-4A03-A250-76175AB1BA2A}"/>
              </c:ext>
            </c:extLst>
          </c:dPt>
          <c:val>
            <c:numRef>
              <c:f>CalcTodate!$C$6:$C$8</c:f>
              <c:numCache>
                <c:formatCode>0%</c:formatCode>
                <c:ptCount val="3"/>
                <c:pt idx="0">
                  <c:v>0.5</c:v>
                </c:pt>
                <c:pt idx="1">
                  <c:v>0.26366286874468481</c:v>
                </c:pt>
                <c:pt idx="2">
                  <c:v>0.23633713125531519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BDD-4EFA-8D64-DB175B8744C8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BDD-4EFA-8D64-DB175B8744C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BDD-4EFA-8D64-DB175B8744C8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BDD-4EFA-8D64-DB175B8744C8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CBDD-4EFA-8D64-DB175B8744C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BDD-4EFA-8D64-DB175B8744C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CalcTodate!$E$6:$E$10</c:f>
              <c:strCache>
                <c:ptCount val="5"/>
                <c:pt idx="1">
                  <c:v>Problem</c:v>
                </c:pt>
                <c:pt idx="2">
                  <c:v>Below</c:v>
                </c:pt>
                <c:pt idx="3">
                  <c:v>Above</c:v>
                </c:pt>
                <c:pt idx="4">
                  <c:v>Excelent</c:v>
                </c:pt>
              </c:strCache>
            </c:strRef>
          </c:cat>
          <c:val>
            <c:numRef>
              <c:f>CalcTodate!$D$6:$D$10</c:f>
              <c:numCache>
                <c:formatCode>0.00%</c:formatCode>
                <c:ptCount val="5"/>
                <c:pt idx="0">
                  <c:v>0.5</c:v>
                </c:pt>
                <c:pt idx="1">
                  <c:v>0.125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DD-4EFA-8D64-DB175B874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  <c:holeSize val="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[dash.xlsm]CalcClient!Tabela dinâmica1</c:name>
    <c:fmtId val="2"/>
  </c:pivotSource>
  <c:chart>
    <c:title>
      <c:tx>
        <c:strRef>
          <c:f>CalcClient!$A$4</c:f>
          <c:strCache>
            <c:ptCount val="1"/>
            <c:pt idx="0">
              <c:v>2017 sales by client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CalcClient!$A$4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010-42DD-BE89-BD0C4C01B1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10-42DD-BE89-BD0C4C01B1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010-42DD-BE89-BD0C4C01B1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010-42DD-BE89-BD0C4C01B1F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010-42DD-BE89-BD0C4C01B1F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010-42DD-BE89-BD0C4C01B1F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010-42DD-BE89-BD0C4C01B1F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010-42DD-BE89-BD0C4C01B1F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CalcClient!$A$4</c:f>
              <c:strCache>
                <c:ptCount val="8"/>
                <c:pt idx="0">
                  <c:v>Client 1</c:v>
                </c:pt>
                <c:pt idx="1">
                  <c:v>Client 2</c:v>
                </c:pt>
                <c:pt idx="2">
                  <c:v>Client 3</c:v>
                </c:pt>
                <c:pt idx="3">
                  <c:v>Client 4</c:v>
                </c:pt>
                <c:pt idx="4">
                  <c:v>Client 5</c:v>
                </c:pt>
                <c:pt idx="5">
                  <c:v>Client 6</c:v>
                </c:pt>
                <c:pt idx="6">
                  <c:v>Client 7</c:v>
                </c:pt>
                <c:pt idx="7">
                  <c:v>Client 8</c:v>
                </c:pt>
              </c:strCache>
            </c:strRef>
          </c:cat>
          <c:val>
            <c:numRef>
              <c:f>CalcClient!$A$4</c:f>
              <c:numCache>
                <c:formatCode>_(* #,##0_);_(* \(#,##0\);_(* "-"??_);_(@_)</c:formatCode>
                <c:ptCount val="8"/>
                <c:pt idx="0">
                  <c:v>10100</c:v>
                </c:pt>
                <c:pt idx="1">
                  <c:v>3300</c:v>
                </c:pt>
                <c:pt idx="2">
                  <c:v>2100</c:v>
                </c:pt>
                <c:pt idx="3">
                  <c:v>3700</c:v>
                </c:pt>
                <c:pt idx="4">
                  <c:v>3600</c:v>
                </c:pt>
                <c:pt idx="5">
                  <c:v>3000</c:v>
                </c:pt>
                <c:pt idx="6">
                  <c:v>3700</c:v>
                </c:pt>
                <c:pt idx="7">
                  <c:v>2900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EFC-4D98-A6B6-5EF00F2B7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Curves!$C$6:$N$6</c:f>
              <c:numCache>
                <c:formatCode>_(* #,##0.00_);_(* \(#,##0.00\);_(* "-"??_);_(@_)</c:formatCode>
                <c:ptCount val="12"/>
                <c:pt idx="0">
                  <c:v>6.6928509242848554E-3</c:v>
                </c:pt>
                <c:pt idx="1">
                  <c:v>1.7986209962091559E-2</c:v>
                </c:pt>
                <c:pt idx="2">
                  <c:v>4.7425873177566781E-2</c:v>
                </c:pt>
                <c:pt idx="3">
                  <c:v>0.11920292202211755</c:v>
                </c:pt>
                <c:pt idx="4">
                  <c:v>0.2689414213699951</c:v>
                </c:pt>
                <c:pt idx="5">
                  <c:v>0.5</c:v>
                </c:pt>
                <c:pt idx="6">
                  <c:v>0.7310585786300049</c:v>
                </c:pt>
                <c:pt idx="7">
                  <c:v>0.88079707797788231</c:v>
                </c:pt>
                <c:pt idx="8">
                  <c:v>0.95257412682243336</c:v>
                </c:pt>
                <c:pt idx="9">
                  <c:v>0.98201379003790845</c:v>
                </c:pt>
                <c:pt idx="10">
                  <c:v>0.99330714907571527</c:v>
                </c:pt>
                <c:pt idx="11">
                  <c:v>0.99752737684336534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81-4D0E-AB5E-B5D42B046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2864736"/>
        <c:axId val="682865064"/>
      </c:lineChart>
      <c:catAx>
        <c:axId val="682864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865064"/>
        <c:crosses val="autoZero"/>
        <c:auto val="1"/>
        <c:lblAlgn val="ctr"/>
        <c:lblOffset val="100"/>
        <c:noMultiLvlLbl val="0"/>
      </c:catAx>
      <c:valAx>
        <c:axId val="682865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86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Curves!$C$7:$N$7</c:f>
              <c:numCache>
                <c:formatCode>_(* #,##0.00_);_(* \(#,##0.00\);_(* "-"??_);_(@_)</c:formatCode>
                <c:ptCount val="12"/>
                <c:pt idx="0">
                  <c:v>6.6928509242848554E-3</c:v>
                </c:pt>
                <c:pt idx="1">
                  <c:v>2.4679060886376412E-2</c:v>
                </c:pt>
                <c:pt idx="2">
                  <c:v>7.2104934063943193E-2</c:v>
                </c:pt>
                <c:pt idx="3">
                  <c:v>0.19130785608606074</c:v>
                </c:pt>
                <c:pt idx="4">
                  <c:v>0.46024927745605582</c:v>
                </c:pt>
                <c:pt idx="5">
                  <c:v>0.96024927745605582</c:v>
                </c:pt>
                <c:pt idx="6">
                  <c:v>1.6913078560860608</c:v>
                </c:pt>
                <c:pt idx="7">
                  <c:v>2.572104934063943</c:v>
                </c:pt>
                <c:pt idx="8">
                  <c:v>3.5246790608863763</c:v>
                </c:pt>
                <c:pt idx="9">
                  <c:v>4.506692850924285</c:v>
                </c:pt>
                <c:pt idx="10">
                  <c:v>5.5</c:v>
                </c:pt>
                <c:pt idx="11">
                  <c:v>6.4975273768433652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5E-4872-9669-6DD4137B4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2864736"/>
        <c:axId val="682865064"/>
      </c:lineChart>
      <c:catAx>
        <c:axId val="682864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865064"/>
        <c:crosses val="autoZero"/>
        <c:auto val="1"/>
        <c:lblAlgn val="ctr"/>
        <c:lblOffset val="100"/>
        <c:noMultiLvlLbl val="0"/>
      </c:catAx>
      <c:valAx>
        <c:axId val="682865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86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28576</xdr:rowOff>
    </xdr:from>
    <xdr:to>
      <xdr:col>6</xdr:col>
      <xdr:colOff>457200</xdr:colOff>
      <xdr:row>15</xdr:row>
      <xdr:rowOff>161926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3</xdr:row>
      <xdr:rowOff>28575</xdr:rowOff>
    </xdr:from>
    <xdr:to>
      <xdr:col>14</xdr:col>
      <xdr:colOff>0</xdr:colOff>
      <xdr:row>15</xdr:row>
      <xdr:rowOff>161925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590550</xdr:colOff>
      <xdr:row>15</xdr:row>
      <xdr:rowOff>190499</xdr:rowOff>
    </xdr:from>
    <xdr:to>
      <xdr:col>14</xdr:col>
      <xdr:colOff>9525</xdr:colOff>
      <xdr:row>28</xdr:row>
      <xdr:rowOff>180974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6</xdr:col>
      <xdr:colOff>476250</xdr:colOff>
      <xdr:row>29</xdr:row>
      <xdr:rowOff>19050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85726</xdr:colOff>
      <xdr:row>7</xdr:row>
      <xdr:rowOff>47625</xdr:rowOff>
    </xdr:from>
    <xdr:to>
      <xdr:col>2</xdr:col>
      <xdr:colOff>628651</xdr:colOff>
      <xdr:row>18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FDA9AF-D5D3-4FE9-A287-7DE8D9ECAD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</xdr:colOff>
      <xdr:row>7</xdr:row>
      <xdr:rowOff>57150</xdr:rowOff>
    </xdr:from>
    <xdr:to>
      <xdr:col>11</xdr:col>
      <xdr:colOff>28575</xdr:colOff>
      <xdr:row>18</xdr:row>
      <xdr:rowOff>47626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C238BB3-1180-4338-AD0A-B946501A8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0</xdr:row>
          <xdr:rowOff>161925</xdr:rowOff>
        </xdr:from>
        <xdr:to>
          <xdr:col>5</xdr:col>
          <xdr:colOff>247650</xdr:colOff>
          <xdr:row>1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linio Prado" refreshedDate="42814.914007060186" createdVersion="6" refreshedVersion="6" minRefreshableVersion="3" recordCount="1001">
  <cacheSource type="worksheet">
    <worksheetSource ref="A4:D1005" sheet="Db"/>
  </cacheSource>
  <cacheFields count="4">
    <cacheField name="cod" numFmtId="0">
      <sharedItems containsSemiMixedTypes="0" containsString="0" containsNumber="1" containsInteger="1" minValue="0" maxValue="12"/>
    </cacheField>
    <cacheField name="date" numFmtId="0">
      <sharedItems containsSemiMixedTypes="0" containsString="0" containsNumber="1" containsInteger="1" minValue="0" maxValue="42821"/>
    </cacheField>
    <cacheField name="client" numFmtId="0">
      <sharedItems containsMixedTypes="1" containsNumber="1" containsInteger="1" minValue="0" maxValue="0" count="9">
        <s v="Client 1"/>
        <s v="Client 2"/>
        <s v="Client 3"/>
        <s v="Client 4"/>
        <s v="Client 5"/>
        <s v="Client 6"/>
        <s v="Client 7"/>
        <s v="Client 8"/>
        <n v="0"/>
      </sharedItems>
    </cacheField>
    <cacheField name="amount" numFmtId="0">
      <sharedItems containsSemiMixedTypes="0" containsString="0" containsNumber="1" containsInteger="1" minValue="0" maxValue="3800" count="11">
        <n v="2800"/>
        <n v="3300"/>
        <n v="500"/>
        <n v="3700"/>
        <n v="3800"/>
        <n v="3600"/>
        <n v="3000"/>
        <n v="3500"/>
        <n v="1100"/>
        <n v="2900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1">
  <r>
    <n v="1"/>
    <n v="42737"/>
    <x v="0"/>
    <x v="0"/>
  </r>
  <r>
    <n v="2"/>
    <n v="42746"/>
    <x v="1"/>
    <x v="1"/>
  </r>
  <r>
    <n v="3"/>
    <n v="42755"/>
    <x v="2"/>
    <x v="2"/>
  </r>
  <r>
    <n v="4"/>
    <n v="42765"/>
    <x v="3"/>
    <x v="3"/>
  </r>
  <r>
    <n v="5"/>
    <n v="42773"/>
    <x v="0"/>
    <x v="4"/>
  </r>
  <r>
    <n v="6"/>
    <n v="42782"/>
    <x v="4"/>
    <x v="5"/>
  </r>
  <r>
    <n v="7"/>
    <n v="42782"/>
    <x v="5"/>
    <x v="6"/>
  </r>
  <r>
    <n v="8"/>
    <n v="42786"/>
    <x v="2"/>
    <x v="2"/>
  </r>
  <r>
    <n v="9"/>
    <n v="42795"/>
    <x v="0"/>
    <x v="7"/>
  </r>
  <r>
    <n v="10"/>
    <n v="42804"/>
    <x v="6"/>
    <x v="3"/>
  </r>
  <r>
    <n v="11"/>
    <n v="42814"/>
    <x v="2"/>
    <x v="8"/>
  </r>
  <r>
    <n v="12"/>
    <n v="42821"/>
    <x v="7"/>
    <x v="9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 rowHeaderCaption="Clients">
  <location ref="A5:B14" firstHeaderRow="1" firstDataRow="1" firstDataCol="1"/>
  <pivotFields count="4">
    <pivotField subtotalTop="0" showAll="0"/>
    <pivotField subtotalTop="0" showAll="0"/>
    <pivotField axis="axisRow" subtotalTop="0" showAll="0" measureFilter="1">
      <items count="10">
        <item x="8"/>
        <item x="0"/>
        <item x="1"/>
        <item x="2"/>
        <item x="3"/>
        <item x="4"/>
        <item x="5"/>
        <item x="6"/>
        <item x="7"/>
        <item t="default"/>
      </items>
    </pivotField>
    <pivotField dataField="1" subtotalTop="0" showAll="0">
      <items count="12">
        <item x="10"/>
        <item x="2"/>
        <item x="8"/>
        <item x="0"/>
        <item x="9"/>
        <item x="6"/>
        <item x="1"/>
        <item x="7"/>
        <item x="5"/>
        <item x="3"/>
        <item x="4"/>
        <item t="default"/>
      </items>
    </pivotField>
  </pivotFields>
  <rowFields count="1">
    <field x="2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" fld="3" baseField="2" baseItem="1"/>
  </dataFields>
  <formats count="6">
    <format dxfId="5">
      <pivotArea outline="0" collapsedLevelsAreSubtotals="1" fieldPosition="0"/>
    </format>
    <format dxfId="4">
      <pivotArea dataOnly="0" labelOnly="1" outline="0" axis="axisValues" fieldPosition="0"/>
    </format>
    <format dxfId="3">
      <pivotArea dataOnly="0" labelOnly="1" outline="0" axis="axisValues" fieldPosition="0"/>
    </format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chartFormats count="10">
    <chartFormat chart="2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8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29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C32"/>
  <sheetViews>
    <sheetView tabSelected="1" topLeftCell="A4" workbookViewId="0"/>
  </sheetViews>
  <sheetFormatPr defaultRowHeight="15" x14ac:dyDescent="0.25"/>
  <cols>
    <col min="1" max="1" width="19.140625" style="1" customWidth="1"/>
    <col min="2" max="2" width="12.5703125" style="1" bestFit="1" customWidth="1"/>
    <col min="3" max="6" width="8.42578125" style="1" bestFit="1" customWidth="1"/>
    <col min="7" max="7" width="16.5703125" style="1" bestFit="1" customWidth="1"/>
    <col min="8" max="14" width="8.5703125" style="1" bestFit="1" customWidth="1"/>
    <col min="15" max="16384" width="9.140625" style="1"/>
  </cols>
  <sheetData>
    <row r="1" spans="1:3" ht="18.75" x14ac:dyDescent="0.3">
      <c r="A1" s="3" t="str">
        <f>Param!B5</f>
        <v>Example Services Ltd.</v>
      </c>
    </row>
    <row r="2" spans="1:3" ht="15.75" x14ac:dyDescent="0.25">
      <c r="A2" s="6" t="s">
        <v>19</v>
      </c>
    </row>
    <row r="3" spans="1:3" x14ac:dyDescent="0.25">
      <c r="C3" s="2"/>
    </row>
    <row r="31" s="12" customFormat="1" ht="12.75" x14ac:dyDescent="0.2"/>
    <row r="32" s="12" customFormat="1" ht="12.75" x14ac:dyDescent="0.2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L10"/>
  <sheetViews>
    <sheetView workbookViewId="0">
      <selection activeCell="B8" sqref="B8"/>
    </sheetView>
  </sheetViews>
  <sheetFormatPr defaultRowHeight="15" x14ac:dyDescent="0.25"/>
  <cols>
    <col min="1" max="1" width="19.5703125" style="1" customWidth="1"/>
    <col min="2" max="2" width="15.28515625" style="1" customWidth="1"/>
    <col min="3" max="16384" width="9.140625" style="1"/>
  </cols>
  <sheetData>
    <row r="1" spans="1:12" ht="18.75" x14ac:dyDescent="0.3">
      <c r="A1" s="3" t="str">
        <f>B5</f>
        <v>Example Services Ltd.</v>
      </c>
    </row>
    <row r="2" spans="1:12" ht="15.75" x14ac:dyDescent="0.25">
      <c r="A2" s="6" t="s">
        <v>44</v>
      </c>
    </row>
    <row r="4" spans="1:12" x14ac:dyDescent="0.25">
      <c r="A4" s="4" t="s">
        <v>15</v>
      </c>
    </row>
    <row r="5" spans="1:12" x14ac:dyDescent="0.25">
      <c r="A5" s="7" t="s">
        <v>17</v>
      </c>
      <c r="B5" s="5" t="s">
        <v>47</v>
      </c>
      <c r="C5" s="5"/>
      <c r="D5" s="5"/>
    </row>
    <row r="6" spans="1:12" x14ac:dyDescent="0.25">
      <c r="A6" s="8" t="s">
        <v>12</v>
      </c>
      <c r="B6" s="5">
        <v>2017</v>
      </c>
    </row>
    <row r="7" spans="1:12" x14ac:dyDescent="0.25">
      <c r="A7" s="8" t="s">
        <v>18</v>
      </c>
      <c r="B7" s="5">
        <v>3</v>
      </c>
    </row>
    <row r="8" spans="1:12" x14ac:dyDescent="0.25">
      <c r="A8" s="8" t="s">
        <v>20</v>
      </c>
      <c r="B8" s="10">
        <v>120000</v>
      </c>
      <c r="F8" s="13"/>
    </row>
    <row r="9" spans="1:12" x14ac:dyDescent="0.25">
      <c r="A9" s="8" t="s">
        <v>39</v>
      </c>
      <c r="B9" s="5">
        <v>1</v>
      </c>
    </row>
    <row r="10" spans="1:12" x14ac:dyDescent="0.25">
      <c r="A10" s="8" t="s">
        <v>24</v>
      </c>
      <c r="B10" s="5" t="s">
        <v>25</v>
      </c>
      <c r="C10" s="11"/>
      <c r="D10" s="5"/>
      <c r="E10" s="5"/>
      <c r="F10" s="5"/>
      <c r="G10" s="5"/>
      <c r="H10" s="5"/>
      <c r="I10" s="5"/>
      <c r="J10" s="5"/>
      <c r="K10" s="5"/>
      <c r="L10" s="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O22"/>
  <sheetViews>
    <sheetView topLeftCell="A2" workbookViewId="0">
      <selection activeCell="B21" sqref="B21"/>
    </sheetView>
  </sheetViews>
  <sheetFormatPr defaultRowHeight="15" x14ac:dyDescent="0.25"/>
  <cols>
    <col min="1" max="1" width="19.140625" style="46" customWidth="1"/>
    <col min="2" max="2" width="12.5703125" style="46" customWidth="1"/>
    <col min="3" max="6" width="8.42578125" style="46" customWidth="1"/>
    <col min="7" max="7" width="16.5703125" style="46" customWidth="1"/>
    <col min="8" max="8" width="11.5703125" style="46" bestFit="1" customWidth="1"/>
    <col min="9" max="15" width="8.5703125" style="46" customWidth="1"/>
    <col min="16" max="16384" width="9.140625" style="46"/>
  </cols>
  <sheetData>
    <row r="1" spans="1:15" ht="18.75" x14ac:dyDescent="0.3">
      <c r="A1" s="3" t="str">
        <f>Param!B5</f>
        <v>Example Services Ltd.</v>
      </c>
    </row>
    <row r="2" spans="1:15" ht="15.75" x14ac:dyDescent="0.25">
      <c r="A2" s="6" t="s">
        <v>27</v>
      </c>
    </row>
    <row r="3" spans="1:15" x14ac:dyDescent="0.25">
      <c r="A3" s="4"/>
      <c r="J3" s="14"/>
    </row>
    <row r="4" spans="1:15" s="54" customFormat="1" x14ac:dyDescent="0.25">
      <c r="A4" s="9" t="s">
        <v>21</v>
      </c>
      <c r="C4" s="54">
        <v>1</v>
      </c>
      <c r="D4" s="54">
        <v>2</v>
      </c>
      <c r="E4" s="54">
        <v>3</v>
      </c>
      <c r="F4" s="54">
        <v>4</v>
      </c>
      <c r="G4" s="54">
        <v>5</v>
      </c>
      <c r="H4" s="54">
        <v>6</v>
      </c>
      <c r="I4" s="54">
        <v>7</v>
      </c>
      <c r="J4" s="54">
        <v>8</v>
      </c>
      <c r="K4" s="54">
        <v>9</v>
      </c>
      <c r="L4" s="54">
        <v>10</v>
      </c>
      <c r="M4" s="54">
        <v>11</v>
      </c>
      <c r="N4" s="54">
        <v>12</v>
      </c>
      <c r="O4" s="55" t="s">
        <v>22</v>
      </c>
    </row>
    <row r="5" spans="1:15" s="54" customFormat="1" x14ac:dyDescent="0.25">
      <c r="A5" s="54" t="s">
        <v>11</v>
      </c>
      <c r="C5" s="56">
        <f>DATE(Param!$B$6,C4,1)</f>
        <v>42736</v>
      </c>
      <c r="D5" s="56">
        <f>DATE(Param!$B$6,D4,1)</f>
        <v>42767</v>
      </c>
      <c r="E5" s="56">
        <f>DATE(Param!$B$6,E4,1)</f>
        <v>42795</v>
      </c>
      <c r="F5" s="56">
        <f>DATE(Param!$B$6,F4,1)</f>
        <v>42826</v>
      </c>
      <c r="G5" s="56">
        <f>DATE(Param!$B$6,G4,1)</f>
        <v>42856</v>
      </c>
      <c r="H5" s="56">
        <f>DATE(Param!$B$6,H4,1)</f>
        <v>42887</v>
      </c>
      <c r="I5" s="56">
        <f>DATE(Param!$B$6,I4,1)</f>
        <v>42917</v>
      </c>
      <c r="J5" s="56">
        <f>DATE(Param!$B$6,J4,1)</f>
        <v>42948</v>
      </c>
      <c r="K5" s="56">
        <f>DATE(Param!$B$6,K4,1)</f>
        <v>42979</v>
      </c>
      <c r="L5" s="56">
        <f>DATE(Param!$B$6,L4,1)</f>
        <v>43009</v>
      </c>
      <c r="M5" s="56">
        <f>DATE(Param!$B$6,M4,1)</f>
        <v>43040</v>
      </c>
      <c r="N5" s="56">
        <f>DATE(Param!$B$6,N4,1)</f>
        <v>43070</v>
      </c>
      <c r="O5" s="56" t="e">
        <f>DATE(#REF!,MONTH(N5)+1,1)</f>
        <v>#REF!</v>
      </c>
    </row>
    <row r="6" spans="1:15" s="54" customFormat="1" x14ac:dyDescent="0.25"/>
    <row r="7" spans="1:15" s="54" customFormat="1" x14ac:dyDescent="0.25">
      <c r="A7" s="9" t="s">
        <v>14</v>
      </c>
      <c r="C7" s="57">
        <f>C$4</f>
        <v>1</v>
      </c>
      <c r="D7" s="57">
        <f t="shared" ref="D7:O7" si="0">D$4</f>
        <v>2</v>
      </c>
      <c r="E7" s="57">
        <f t="shared" si="0"/>
        <v>3</v>
      </c>
      <c r="F7" s="57">
        <f t="shared" si="0"/>
        <v>4</v>
      </c>
      <c r="G7" s="57">
        <f t="shared" si="0"/>
        <v>5</v>
      </c>
      <c r="H7" s="57">
        <f t="shared" si="0"/>
        <v>6</v>
      </c>
      <c r="I7" s="57">
        <f t="shared" si="0"/>
        <v>7</v>
      </c>
      <c r="J7" s="57">
        <f t="shared" si="0"/>
        <v>8</v>
      </c>
      <c r="K7" s="57">
        <f t="shared" si="0"/>
        <v>9</v>
      </c>
      <c r="L7" s="57">
        <f t="shared" si="0"/>
        <v>10</v>
      </c>
      <c r="M7" s="57">
        <f t="shared" si="0"/>
        <v>11</v>
      </c>
      <c r="N7" s="57">
        <f t="shared" si="0"/>
        <v>12</v>
      </c>
      <c r="O7" s="57" t="str">
        <f t="shared" si="0"/>
        <v>Total</v>
      </c>
    </row>
    <row r="8" spans="1:15" s="54" customFormat="1" x14ac:dyDescent="0.25">
      <c r="A8" s="46" t="str">
        <f>Param!B6&amp;" sales by month"</f>
        <v>2017 sales by month</v>
      </c>
      <c r="B8" s="58" t="s">
        <v>23</v>
      </c>
      <c r="C8" s="42">
        <f>C22</f>
        <v>10066.928509242849</v>
      </c>
      <c r="D8" s="42">
        <f t="shared" ref="D8:N8" si="1">D22</f>
        <v>10179.862099620916</v>
      </c>
      <c r="E8" s="42">
        <f t="shared" si="1"/>
        <v>10474.258731775668</v>
      </c>
      <c r="F8" s="42">
        <f t="shared" si="1"/>
        <v>11192.029220221175</v>
      </c>
      <c r="G8" s="42">
        <f t="shared" si="1"/>
        <v>12689.414213699951</v>
      </c>
      <c r="H8" s="42">
        <f t="shared" si="1"/>
        <v>15000</v>
      </c>
      <c r="I8" s="42">
        <f t="shared" si="1"/>
        <v>17310.585786300049</v>
      </c>
      <c r="J8" s="42">
        <f t="shared" si="1"/>
        <v>18807.970779778821</v>
      </c>
      <c r="K8" s="42">
        <f t="shared" si="1"/>
        <v>19525.741268224334</v>
      </c>
      <c r="L8" s="42">
        <f t="shared" si="1"/>
        <v>19820.137900379086</v>
      </c>
      <c r="M8" s="42">
        <f t="shared" si="1"/>
        <v>19933.071490757153</v>
      </c>
      <c r="N8" s="42">
        <f t="shared" si="1"/>
        <v>19975.273768433653</v>
      </c>
      <c r="O8" s="42">
        <f>SUM(C8:N8)</f>
        <v>184975.27376843366</v>
      </c>
    </row>
    <row r="9" spans="1:15" s="54" customFormat="1" x14ac:dyDescent="0.25">
      <c r="B9" s="58" t="s">
        <v>16</v>
      </c>
      <c r="C9" s="42">
        <f>C8</f>
        <v>10066.928509242849</v>
      </c>
      <c r="D9" s="42">
        <f>D8+C9</f>
        <v>20246.790608863765</v>
      </c>
      <c r="E9" s="42">
        <f t="shared" ref="E9:N9" si="2">E8+D9</f>
        <v>30721.049340639431</v>
      </c>
      <c r="F9" s="42">
        <f t="shared" si="2"/>
        <v>41913.078560860609</v>
      </c>
      <c r="G9" s="42">
        <f t="shared" si="2"/>
        <v>54602.49277456056</v>
      </c>
      <c r="H9" s="42">
        <f t="shared" si="2"/>
        <v>69602.492774560553</v>
      </c>
      <c r="I9" s="42">
        <f t="shared" si="2"/>
        <v>86913.078560860595</v>
      </c>
      <c r="J9" s="42">
        <f t="shared" si="2"/>
        <v>105721.04934063941</v>
      </c>
      <c r="K9" s="42">
        <f t="shared" si="2"/>
        <v>125246.79060886374</v>
      </c>
      <c r="L9" s="42">
        <f t="shared" si="2"/>
        <v>145066.92850924283</v>
      </c>
      <c r="M9" s="42">
        <f t="shared" si="2"/>
        <v>165000</v>
      </c>
      <c r="N9" s="42">
        <f t="shared" si="2"/>
        <v>184975.27376843366</v>
      </c>
      <c r="O9" s="42"/>
    </row>
    <row r="10" spans="1:15" s="54" customFormat="1" x14ac:dyDescent="0.25"/>
    <row r="11" spans="1:15" s="54" customFormat="1" x14ac:dyDescent="0.25">
      <c r="A11" s="9" t="s">
        <v>26</v>
      </c>
      <c r="C11" s="57">
        <f>C$4</f>
        <v>1</v>
      </c>
      <c r="D11" s="57">
        <f t="shared" ref="D11:O11" si="3">D$4</f>
        <v>2</v>
      </c>
      <c r="E11" s="57">
        <f t="shared" si="3"/>
        <v>3</v>
      </c>
      <c r="F11" s="57">
        <f t="shared" si="3"/>
        <v>4</v>
      </c>
      <c r="G11" s="57">
        <f t="shared" si="3"/>
        <v>5</v>
      </c>
      <c r="H11" s="57">
        <f t="shared" si="3"/>
        <v>6</v>
      </c>
      <c r="I11" s="57">
        <f t="shared" si="3"/>
        <v>7</v>
      </c>
      <c r="J11" s="57">
        <f t="shared" si="3"/>
        <v>8</v>
      </c>
      <c r="K11" s="57">
        <f t="shared" si="3"/>
        <v>9</v>
      </c>
      <c r="L11" s="57">
        <f t="shared" si="3"/>
        <v>10</v>
      </c>
      <c r="M11" s="57">
        <f t="shared" si="3"/>
        <v>11</v>
      </c>
      <c r="N11" s="57">
        <f t="shared" si="3"/>
        <v>12</v>
      </c>
      <c r="O11" s="57" t="str">
        <f t="shared" si="3"/>
        <v>Total</v>
      </c>
    </row>
    <row r="12" spans="1:15" s="54" customFormat="1" x14ac:dyDescent="0.25">
      <c r="A12" s="46" t="str">
        <f>Param!B6&amp;" sales by to date"</f>
        <v>2017 sales by to date</v>
      </c>
      <c r="B12" s="58" t="s">
        <v>23</v>
      </c>
      <c r="C12" s="42">
        <f>IF(C4&gt;Param!$B$7,NA(),SUMIFS(Db!$D5:$D1000,Db!$B5:$B1000,"&gt;="&amp;CalcMonth!C5,Db!$B5:$B1000,"&lt;"&amp;D5))</f>
        <v>10300</v>
      </c>
      <c r="D12" s="42">
        <f>IF(D4&gt;Param!$B$7,NA(),SUMIFS(Db!$D5:$D1000,Db!$B5:$B1000,"&gt;="&amp;CalcMonth!D5,Db!$B5:$B1000,"&lt;"&amp;E5))</f>
        <v>10900</v>
      </c>
      <c r="E12" s="42">
        <f>IF(E4&gt;Param!$B$7,NA(),SUMIFS(Db!$D5:$D1000,Db!$B5:$B1000,"&gt;="&amp;CalcMonth!E5,Db!$B5:$B1000,"&lt;"&amp;F5))</f>
        <v>11200</v>
      </c>
      <c r="F12" s="42" t="e">
        <f>IF(F4&gt;Param!$B$7,NA(),SUMIFS(Db!$D5:$D1000,Db!$B5:$B1000,"&gt;="&amp;CalcMonth!F5,Db!$B5:$B1000,"&lt;"&amp;G5))</f>
        <v>#N/A</v>
      </c>
      <c r="G12" s="42" t="e">
        <f>IF(G4&gt;Param!$B$7,NA(),SUMIFS(Db!$D5:$D1000,Db!$B5:$B1000,"&gt;="&amp;CalcMonth!G5,Db!$B5:$B1000,"&lt;"&amp;H5))</f>
        <v>#N/A</v>
      </c>
      <c r="H12" s="42" t="e">
        <f>IF(H4&gt;Param!$B$7,NA(),SUMIFS(Db!$D5:$D1000,Db!$B5:$B1000,"&gt;="&amp;CalcMonth!H5,Db!$B5:$B1000,"&lt;"&amp;I5))</f>
        <v>#N/A</v>
      </c>
      <c r="I12" s="42" t="e">
        <f>IF(I4&gt;Param!$B$7,NA(),SUMIFS(Db!$D5:$D1000,Db!$B5:$B1000,"&gt;="&amp;CalcMonth!I5,Db!$B5:$B1000,"&lt;"&amp;J5))</f>
        <v>#N/A</v>
      </c>
      <c r="J12" s="42" t="e">
        <f>IF(J4&gt;Param!$B$7,NA(),SUMIFS(Db!$D5:$D1000,Db!$B5:$B1000,"&gt;="&amp;CalcMonth!J5,Db!$B5:$B1000,"&lt;"&amp;K5))</f>
        <v>#N/A</v>
      </c>
      <c r="K12" s="42" t="e">
        <f>IF(K4&gt;Param!$B$7,NA(),SUMIFS(Db!$D5:$D1000,Db!$B5:$B1000,"&gt;="&amp;CalcMonth!K5,Db!$B5:$B1000,"&lt;"&amp;L5))</f>
        <v>#N/A</v>
      </c>
      <c r="L12" s="42" t="e">
        <f>IF(L4&gt;Param!$B$7,NA(),SUMIFS(Db!$D5:$D1000,Db!$B5:$B1000,"&gt;="&amp;CalcMonth!L5,Db!$B5:$B1000,"&lt;"&amp;M5))</f>
        <v>#N/A</v>
      </c>
      <c r="M12" s="42" t="e">
        <f>IF(M4&gt;Param!$B$7,NA(),SUMIFS(Db!$D5:$D1000,Db!$B5:$B1000,"&gt;="&amp;CalcMonth!M5,Db!$B5:$B1000,"&lt;"&amp;N5))</f>
        <v>#N/A</v>
      </c>
      <c r="N12" s="42" t="e">
        <f>IF(N4&gt;Param!$B$7,NA(),SUMIFS(Db!$D5:$D1000,Db!$B5:$B1000,"&gt;="&amp;CalcMonth!N5,Db!$B5:$B1000,"&lt;"&amp;O5))</f>
        <v>#N/A</v>
      </c>
      <c r="O12" s="42" t="e">
        <f>SUM(C12:N12)</f>
        <v>#N/A</v>
      </c>
    </row>
    <row r="13" spans="1:15" s="54" customFormat="1" x14ac:dyDescent="0.25">
      <c r="B13" s="58" t="s">
        <v>16</v>
      </c>
      <c r="C13" s="42">
        <f>C12</f>
        <v>10300</v>
      </c>
      <c r="D13" s="42">
        <f>SUM($C12:D12)</f>
        <v>21200</v>
      </c>
      <c r="E13" s="42">
        <f>SUM($C12:E12)</f>
        <v>32400</v>
      </c>
      <c r="F13" s="42" t="e">
        <f>SUM($C12:F12)</f>
        <v>#N/A</v>
      </c>
      <c r="G13" s="42" t="e">
        <f>SUM($C12:G12)</f>
        <v>#N/A</v>
      </c>
      <c r="H13" s="42" t="e">
        <f>SUM($C12:H12)</f>
        <v>#N/A</v>
      </c>
      <c r="I13" s="42" t="e">
        <f>SUM($C12:I12)</f>
        <v>#N/A</v>
      </c>
      <c r="J13" s="42" t="e">
        <f>SUM($C12:J12)</f>
        <v>#N/A</v>
      </c>
      <c r="K13" s="42" t="e">
        <f>SUM($C12:K12)</f>
        <v>#N/A</v>
      </c>
      <c r="L13" s="42" t="e">
        <f>SUM($C12:L12)</f>
        <v>#N/A</v>
      </c>
      <c r="M13" s="42" t="e">
        <f>SUM($C12:M12)</f>
        <v>#N/A</v>
      </c>
      <c r="N13" s="42" t="e">
        <f>SUM($C12:N12)</f>
        <v>#N/A</v>
      </c>
      <c r="O13" s="42"/>
    </row>
    <row r="14" spans="1:15" s="54" customFormat="1" x14ac:dyDescent="0.25"/>
    <row r="15" spans="1:15" s="54" customFormat="1" x14ac:dyDescent="0.25">
      <c r="A15" s="46" t="str">
        <f>Param!B6&amp;" sales by client"</f>
        <v>2017 sales by client</v>
      </c>
    </row>
    <row r="18" spans="1:15" x14ac:dyDescent="0.25">
      <c r="A18" s="4" t="s">
        <v>14</v>
      </c>
      <c r="C18" s="57">
        <f>C$4</f>
        <v>1</v>
      </c>
      <c r="D18" s="57">
        <f t="shared" ref="D18:O18" si="4">D$4</f>
        <v>2</v>
      </c>
      <c r="E18" s="57">
        <f t="shared" si="4"/>
        <v>3</v>
      </c>
      <c r="F18" s="57">
        <f t="shared" si="4"/>
        <v>4</v>
      </c>
      <c r="G18" s="57">
        <f t="shared" si="4"/>
        <v>5</v>
      </c>
      <c r="H18" s="57">
        <f t="shared" si="4"/>
        <v>6</v>
      </c>
      <c r="I18" s="57">
        <f t="shared" si="4"/>
        <v>7</v>
      </c>
      <c r="J18" s="57">
        <f t="shared" si="4"/>
        <v>8</v>
      </c>
      <c r="K18" s="57">
        <f t="shared" si="4"/>
        <v>9</v>
      </c>
      <c r="L18" s="57">
        <f t="shared" si="4"/>
        <v>10</v>
      </c>
      <c r="M18" s="57">
        <f t="shared" si="4"/>
        <v>11</v>
      </c>
      <c r="N18" s="57">
        <f t="shared" si="4"/>
        <v>12</v>
      </c>
      <c r="O18" s="57" t="str">
        <f t="shared" si="4"/>
        <v>Total</v>
      </c>
    </row>
    <row r="19" spans="1:15" x14ac:dyDescent="0.25">
      <c r="A19" s="46" t="s">
        <v>82</v>
      </c>
      <c r="B19" s="46" t="s">
        <v>74</v>
      </c>
      <c r="C19" s="47">
        <f>Curves!C6</f>
        <v>6.6928509242848554E-3</v>
      </c>
      <c r="D19" s="47">
        <f>Curves!D6</f>
        <v>1.7986209962091559E-2</v>
      </c>
      <c r="E19" s="47">
        <f>Curves!E6</f>
        <v>4.7425873177566781E-2</v>
      </c>
      <c r="F19" s="47">
        <f>Curves!F6</f>
        <v>0.11920292202211755</v>
      </c>
      <c r="G19" s="47">
        <f>Curves!G6</f>
        <v>0.2689414213699951</v>
      </c>
      <c r="H19" s="47">
        <f>Curves!H6</f>
        <v>0.5</v>
      </c>
      <c r="I19" s="47">
        <f>Curves!I6</f>
        <v>0.7310585786300049</v>
      </c>
      <c r="J19" s="47">
        <f>Curves!J6</f>
        <v>0.88079707797788231</v>
      </c>
      <c r="K19" s="47">
        <f>Curves!K6</f>
        <v>0.95257412682243336</v>
      </c>
      <c r="L19" s="47">
        <f>Curves!L6</f>
        <v>0.98201379003790845</v>
      </c>
      <c r="M19" s="47">
        <f>Curves!M6</f>
        <v>0.99330714907571527</v>
      </c>
      <c r="N19" s="47">
        <f>Curves!N6</f>
        <v>0.99752737684336534</v>
      </c>
      <c r="O19" s="47">
        <f>SUM(C19:N19)</f>
        <v>6.4975273768433652</v>
      </c>
    </row>
    <row r="20" spans="1:15" x14ac:dyDescent="0.25">
      <c r="A20" s="46" t="s">
        <v>83</v>
      </c>
      <c r="B20" s="42">
        <v>10000</v>
      </c>
      <c r="C20" s="42">
        <f>$B$20*C19</f>
        <v>66.928509242848548</v>
      </c>
      <c r="D20" s="42">
        <f t="shared" ref="D20:N20" si="5">$B$20*D19</f>
        <v>179.86209962091559</v>
      </c>
      <c r="E20" s="42">
        <f t="shared" si="5"/>
        <v>474.2587317756678</v>
      </c>
      <c r="F20" s="42">
        <f t="shared" si="5"/>
        <v>1192.0292202211754</v>
      </c>
      <c r="G20" s="42">
        <f t="shared" si="5"/>
        <v>2689.4142136999512</v>
      </c>
      <c r="H20" s="42">
        <f t="shared" si="5"/>
        <v>5000</v>
      </c>
      <c r="I20" s="42">
        <f t="shared" si="5"/>
        <v>7310.5857863000492</v>
      </c>
      <c r="J20" s="42">
        <f t="shared" si="5"/>
        <v>8807.9707797788233</v>
      </c>
      <c r="K20" s="42">
        <f t="shared" si="5"/>
        <v>9525.7412682243339</v>
      </c>
      <c r="L20" s="42">
        <f t="shared" si="5"/>
        <v>9820.1379003790844</v>
      </c>
      <c r="M20" s="42">
        <f t="shared" si="5"/>
        <v>9933.0714907571528</v>
      </c>
      <c r="N20" s="42">
        <f t="shared" si="5"/>
        <v>9975.2737684336535</v>
      </c>
      <c r="O20" s="42">
        <f>SUM(C20:N20)</f>
        <v>64975.273768433661</v>
      </c>
    </row>
    <row r="21" spans="1:15" x14ac:dyDescent="0.25">
      <c r="A21" s="46" t="s">
        <v>84</v>
      </c>
      <c r="B21" s="42">
        <v>10000</v>
      </c>
      <c r="C21" s="42">
        <f>B21</f>
        <v>10000</v>
      </c>
      <c r="D21" s="42">
        <f t="shared" ref="D21:N21" si="6">C21</f>
        <v>10000</v>
      </c>
      <c r="E21" s="42">
        <f t="shared" si="6"/>
        <v>10000</v>
      </c>
      <c r="F21" s="42">
        <f t="shared" si="6"/>
        <v>10000</v>
      </c>
      <c r="G21" s="42">
        <f t="shared" si="6"/>
        <v>10000</v>
      </c>
      <c r="H21" s="42">
        <f t="shared" si="6"/>
        <v>10000</v>
      </c>
      <c r="I21" s="42">
        <f t="shared" si="6"/>
        <v>10000</v>
      </c>
      <c r="J21" s="42">
        <f t="shared" si="6"/>
        <v>10000</v>
      </c>
      <c r="K21" s="42">
        <f t="shared" si="6"/>
        <v>10000</v>
      </c>
      <c r="L21" s="42">
        <f t="shared" si="6"/>
        <v>10000</v>
      </c>
      <c r="M21" s="42">
        <f t="shared" si="6"/>
        <v>10000</v>
      </c>
      <c r="N21" s="42">
        <f t="shared" si="6"/>
        <v>10000</v>
      </c>
      <c r="O21" s="42">
        <f>SUM(C21:N21)</f>
        <v>120000</v>
      </c>
    </row>
    <row r="22" spans="1:15" x14ac:dyDescent="0.25">
      <c r="A22" s="46" t="s">
        <v>85</v>
      </c>
      <c r="B22" s="59">
        <f>SUM(B20:B21)</f>
        <v>20000</v>
      </c>
      <c r="C22" s="59">
        <f t="shared" ref="C22:N22" si="7">SUM(C20:C21)</f>
        <v>10066.928509242849</v>
      </c>
      <c r="D22" s="59">
        <f t="shared" si="7"/>
        <v>10179.862099620916</v>
      </c>
      <c r="E22" s="59">
        <f t="shared" si="7"/>
        <v>10474.258731775668</v>
      </c>
      <c r="F22" s="59">
        <f t="shared" si="7"/>
        <v>11192.029220221175</v>
      </c>
      <c r="G22" s="59">
        <f t="shared" si="7"/>
        <v>12689.414213699951</v>
      </c>
      <c r="H22" s="59">
        <f t="shared" si="7"/>
        <v>15000</v>
      </c>
      <c r="I22" s="59">
        <f t="shared" si="7"/>
        <v>17310.585786300049</v>
      </c>
      <c r="J22" s="59">
        <f t="shared" si="7"/>
        <v>18807.970779778821</v>
      </c>
      <c r="K22" s="59">
        <f t="shared" si="7"/>
        <v>19525.741268224334</v>
      </c>
      <c r="L22" s="59">
        <f t="shared" si="7"/>
        <v>19820.137900379086</v>
      </c>
      <c r="M22" s="59">
        <f t="shared" si="7"/>
        <v>19933.071490757153</v>
      </c>
      <c r="N22" s="59">
        <f t="shared" si="7"/>
        <v>19975.273768433653</v>
      </c>
      <c r="O22" s="42">
        <f>SUM(C22:N22)</f>
        <v>184975.27376843366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B15"/>
  <sheetViews>
    <sheetView workbookViewId="0">
      <selection activeCell="A2" sqref="A2"/>
    </sheetView>
  </sheetViews>
  <sheetFormatPr defaultRowHeight="15" x14ac:dyDescent="0.25"/>
  <cols>
    <col min="1" max="1" width="10.7109375" style="1" customWidth="1"/>
    <col min="2" max="2" width="8" style="42" customWidth="1"/>
    <col min="3" max="16384" width="9.140625" style="1"/>
  </cols>
  <sheetData>
    <row r="1" spans="1:2" ht="18.75" x14ac:dyDescent="0.3">
      <c r="A1" s="3" t="str">
        <f>Param!B5</f>
        <v>Example Services Ltd.</v>
      </c>
    </row>
    <row r="2" spans="1:2" x14ac:dyDescent="0.25">
      <c r="A2" s="4" t="s">
        <v>27</v>
      </c>
    </row>
    <row r="3" spans="1:2" x14ac:dyDescent="0.25">
      <c r="B3"/>
    </row>
    <row r="4" spans="1:2" x14ac:dyDescent="0.25">
      <c r="A4" s="15" t="str">
        <f>Param!B6&amp;" sales by client"</f>
        <v>2017 sales by client</v>
      </c>
    </row>
    <row r="5" spans="1:2" x14ac:dyDescent="0.25">
      <c r="A5" s="40" t="s">
        <v>43</v>
      </c>
      <c r="B5" s="43" t="s">
        <v>28</v>
      </c>
    </row>
    <row r="6" spans="1:2" x14ac:dyDescent="0.25">
      <c r="A6" s="41" t="s">
        <v>4</v>
      </c>
      <c r="B6" s="43">
        <v>10100</v>
      </c>
    </row>
    <row r="7" spans="1:2" x14ac:dyDescent="0.25">
      <c r="A7" s="41" t="s">
        <v>5</v>
      </c>
      <c r="B7" s="43">
        <v>3300</v>
      </c>
    </row>
    <row r="8" spans="1:2" x14ac:dyDescent="0.25">
      <c r="A8" s="41" t="s">
        <v>6</v>
      </c>
      <c r="B8" s="43">
        <v>2100</v>
      </c>
    </row>
    <row r="9" spans="1:2" x14ac:dyDescent="0.25">
      <c r="A9" s="41" t="s">
        <v>7</v>
      </c>
      <c r="B9" s="43">
        <v>3700</v>
      </c>
    </row>
    <row r="10" spans="1:2" x14ac:dyDescent="0.25">
      <c r="A10" s="41" t="s">
        <v>8</v>
      </c>
      <c r="B10" s="43">
        <v>3600</v>
      </c>
    </row>
    <row r="11" spans="1:2" x14ac:dyDescent="0.25">
      <c r="A11" s="41" t="s">
        <v>9</v>
      </c>
      <c r="B11" s="43">
        <v>3000</v>
      </c>
    </row>
    <row r="12" spans="1:2" x14ac:dyDescent="0.25">
      <c r="A12" s="41" t="s">
        <v>10</v>
      </c>
      <c r="B12" s="43">
        <v>3700</v>
      </c>
    </row>
    <row r="13" spans="1:2" x14ac:dyDescent="0.25">
      <c r="A13" s="41" t="s">
        <v>13</v>
      </c>
      <c r="B13" s="43">
        <v>2900</v>
      </c>
    </row>
    <row r="14" spans="1:2" x14ac:dyDescent="0.25">
      <c r="A14" s="41" t="s">
        <v>42</v>
      </c>
      <c r="B14" s="43">
        <v>32400</v>
      </c>
    </row>
    <row r="15" spans="1:2" x14ac:dyDescent="0.25">
      <c r="A15" s="1" t="s">
        <v>46</v>
      </c>
      <c r="B15" s="1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E11"/>
  <sheetViews>
    <sheetView workbookViewId="0">
      <selection activeCell="I17" sqref="I17"/>
    </sheetView>
  </sheetViews>
  <sheetFormatPr defaultRowHeight="15" x14ac:dyDescent="0.25"/>
  <cols>
    <col min="1" max="1" width="9.140625" style="1"/>
    <col min="2" max="2" width="10.5703125" style="1" bestFit="1" customWidth="1"/>
    <col min="3" max="16384" width="9.140625" style="1"/>
  </cols>
  <sheetData>
    <row r="1" spans="1:5" ht="18.75" x14ac:dyDescent="0.3">
      <c r="A1" s="3" t="str">
        <f>Param!B5</f>
        <v>Example Services Ltd.</v>
      </c>
    </row>
    <row r="2" spans="1:5" x14ac:dyDescent="0.25">
      <c r="A2" s="4" t="s">
        <v>29</v>
      </c>
    </row>
    <row r="4" spans="1:5" x14ac:dyDescent="0.25">
      <c r="A4" s="4" t="str">
        <f>Param!B6&amp;" budget x actual"</f>
        <v>2017 budget x actual</v>
      </c>
    </row>
    <row r="5" spans="1:5" x14ac:dyDescent="0.25">
      <c r="A5" s="22"/>
      <c r="B5" s="23" t="s">
        <v>34</v>
      </c>
      <c r="C5" s="23" t="s">
        <v>31</v>
      </c>
      <c r="D5" s="23" t="s">
        <v>32</v>
      </c>
      <c r="E5" s="24" t="s">
        <v>33</v>
      </c>
    </row>
    <row r="6" spans="1:5" x14ac:dyDescent="0.25">
      <c r="A6" s="25"/>
      <c r="B6" s="17"/>
      <c r="C6" s="18">
        <v>0.5</v>
      </c>
      <c r="D6" s="19">
        <v>0.5</v>
      </c>
      <c r="E6" s="26"/>
    </row>
    <row r="7" spans="1:5" x14ac:dyDescent="0.25">
      <c r="A7" s="25" t="s">
        <v>14</v>
      </c>
      <c r="B7" s="20">
        <f>HLOOKUP(Param!B7,CalcMonth!C$7:N$9,3,1)</f>
        <v>30721.049340639431</v>
      </c>
      <c r="C7" s="21">
        <f>MIN((B8/B7)/4,0.5)</f>
        <v>0.26366286874468481</v>
      </c>
      <c r="D7" s="19">
        <v>0.125</v>
      </c>
      <c r="E7" s="26" t="s">
        <v>37</v>
      </c>
    </row>
    <row r="8" spans="1:5" x14ac:dyDescent="0.25">
      <c r="A8" s="25" t="s">
        <v>26</v>
      </c>
      <c r="B8" s="20">
        <f>HLOOKUP(Param!B7,CalcMonth!C$11:N$13,3,1)</f>
        <v>32400</v>
      </c>
      <c r="C8" s="21">
        <f>1-C7-C6</f>
        <v>0.23633713125531519</v>
      </c>
      <c r="D8" s="19">
        <v>0.125</v>
      </c>
      <c r="E8" s="26" t="s">
        <v>35</v>
      </c>
    </row>
    <row r="9" spans="1:5" x14ac:dyDescent="0.25">
      <c r="A9" s="25"/>
      <c r="B9" s="17"/>
      <c r="C9" s="17"/>
      <c r="D9" s="19">
        <v>0.125</v>
      </c>
      <c r="E9" s="26" t="s">
        <v>36</v>
      </c>
    </row>
    <row r="10" spans="1:5" x14ac:dyDescent="0.25">
      <c r="A10" s="27"/>
      <c r="B10" s="16"/>
      <c r="C10" s="16"/>
      <c r="D10" s="28">
        <v>0.125</v>
      </c>
      <c r="E10" s="29" t="s">
        <v>30</v>
      </c>
    </row>
    <row r="11" spans="1:5" x14ac:dyDescent="0.25">
      <c r="A11" s="1" t="s">
        <v>45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D1005"/>
  <sheetViews>
    <sheetView workbookViewId="0">
      <selection activeCell="A2" sqref="A2"/>
    </sheetView>
  </sheetViews>
  <sheetFormatPr defaultRowHeight="15" x14ac:dyDescent="0.25"/>
  <cols>
    <col min="1" max="16384" width="9.140625" style="1"/>
  </cols>
  <sheetData>
    <row r="1" spans="1:4" ht="18.75" x14ac:dyDescent="0.3">
      <c r="A1" s="3" t="str">
        <f>Param!B5</f>
        <v>Example Services Ltd.</v>
      </c>
    </row>
    <row r="2" spans="1:4" x14ac:dyDescent="0.25">
      <c r="A2" s="1" t="s">
        <v>40</v>
      </c>
    </row>
    <row r="4" spans="1:4" x14ac:dyDescent="0.25">
      <c r="A4" s="4" t="s">
        <v>0</v>
      </c>
      <c r="B4" s="30" t="s">
        <v>1</v>
      </c>
      <c r="C4" s="4" t="s">
        <v>2</v>
      </c>
      <c r="D4" s="31" t="s">
        <v>3</v>
      </c>
    </row>
    <row r="5" spans="1:4" x14ac:dyDescent="0.25">
      <c r="A5" s="1">
        <f>IF(Param!$B$9=1,DbExcel!A5,DbWservice!A5)</f>
        <v>1</v>
      </c>
      <c r="B5" s="1">
        <f>IF(Param!$B$9=1,DbExcel!B5,DbWservice!B5)</f>
        <v>42737</v>
      </c>
      <c r="C5" s="1" t="str">
        <f>IF(Param!$B$9=1,DbExcel!C5,DbWservice!C5)</f>
        <v>Client 1</v>
      </c>
      <c r="D5" s="1">
        <f>IF(Param!$B$9=1,DbExcel!D5,DbWservice!D5)</f>
        <v>2800</v>
      </c>
    </row>
    <row r="6" spans="1:4" x14ac:dyDescent="0.25">
      <c r="A6" s="1">
        <f>IF(Param!$B$9=1,DbExcel!A6,DbWservice!A6)</f>
        <v>2</v>
      </c>
      <c r="B6" s="1">
        <f>IF(Param!$B$9=1,DbExcel!B6,DbWservice!B6)</f>
        <v>42746</v>
      </c>
      <c r="C6" s="1" t="str">
        <f>IF(Param!$B$9=1,DbExcel!C6,DbWservice!C6)</f>
        <v>Client 2</v>
      </c>
      <c r="D6" s="1">
        <f>IF(Param!$B$9=1,DbExcel!D6,DbWservice!D6)</f>
        <v>3300</v>
      </c>
    </row>
    <row r="7" spans="1:4" x14ac:dyDescent="0.25">
      <c r="A7" s="1">
        <f>IF(Param!$B$9=1,DbExcel!A7,DbWservice!A7)</f>
        <v>3</v>
      </c>
      <c r="B7" s="1">
        <f>IF(Param!$B$9=1,DbExcel!B7,DbWservice!B7)</f>
        <v>42755</v>
      </c>
      <c r="C7" s="1" t="str">
        <f>IF(Param!$B$9=1,DbExcel!C7,DbWservice!C7)</f>
        <v>Client 3</v>
      </c>
      <c r="D7" s="1">
        <f>IF(Param!$B$9=1,DbExcel!D7,DbWservice!D7)</f>
        <v>500</v>
      </c>
    </row>
    <row r="8" spans="1:4" x14ac:dyDescent="0.25">
      <c r="A8" s="1">
        <f>IF(Param!$B$9=1,DbExcel!A8,DbWservice!A8)</f>
        <v>4</v>
      </c>
      <c r="B8" s="1">
        <f>IF(Param!$B$9=1,DbExcel!B8,DbWservice!B8)</f>
        <v>42765</v>
      </c>
      <c r="C8" s="1" t="str">
        <f>IF(Param!$B$9=1,DbExcel!C8,DbWservice!C8)</f>
        <v>Client 4</v>
      </c>
      <c r="D8" s="1">
        <f>IF(Param!$B$9=1,DbExcel!D8,DbWservice!D8)</f>
        <v>3700</v>
      </c>
    </row>
    <row r="9" spans="1:4" x14ac:dyDescent="0.25">
      <c r="A9" s="1">
        <f>IF(Param!$B$9=1,DbExcel!A9,DbWservice!A9)</f>
        <v>5</v>
      </c>
      <c r="B9" s="1">
        <f>IF(Param!$B$9=1,DbExcel!B9,DbWservice!B9)</f>
        <v>42773</v>
      </c>
      <c r="C9" s="1" t="str">
        <f>IF(Param!$B$9=1,DbExcel!C9,DbWservice!C9)</f>
        <v>Client 1</v>
      </c>
      <c r="D9" s="1">
        <f>IF(Param!$B$9=1,DbExcel!D9,DbWservice!D9)</f>
        <v>3800</v>
      </c>
    </row>
    <row r="10" spans="1:4" x14ac:dyDescent="0.25">
      <c r="A10" s="1">
        <f>IF(Param!$B$9=1,DbExcel!A10,DbWservice!A10)</f>
        <v>6</v>
      </c>
      <c r="B10" s="1">
        <f>IF(Param!$B$9=1,DbExcel!B10,DbWservice!B10)</f>
        <v>42782</v>
      </c>
      <c r="C10" s="1" t="str">
        <f>IF(Param!$B$9=1,DbExcel!C10,DbWservice!C10)</f>
        <v>Client 5</v>
      </c>
      <c r="D10" s="1">
        <f>IF(Param!$B$9=1,DbExcel!D10,DbWservice!D10)</f>
        <v>3600</v>
      </c>
    </row>
    <row r="11" spans="1:4" x14ac:dyDescent="0.25">
      <c r="A11" s="1">
        <f>IF(Param!$B$9=1,DbExcel!A11,DbWservice!A11)</f>
        <v>7</v>
      </c>
      <c r="B11" s="1">
        <f>IF(Param!$B$9=1,DbExcel!B11,DbWservice!B11)</f>
        <v>42782</v>
      </c>
      <c r="C11" s="1" t="str">
        <f>IF(Param!$B$9=1,DbExcel!C11,DbWservice!C11)</f>
        <v>Client 6</v>
      </c>
      <c r="D11" s="1">
        <f>IF(Param!$B$9=1,DbExcel!D11,DbWservice!D11)</f>
        <v>3000</v>
      </c>
    </row>
    <row r="12" spans="1:4" x14ac:dyDescent="0.25">
      <c r="A12" s="1">
        <f>IF(Param!$B$9=1,DbExcel!A12,DbWservice!A12)</f>
        <v>8</v>
      </c>
      <c r="B12" s="1">
        <f>IF(Param!$B$9=1,DbExcel!B12,DbWservice!B12)</f>
        <v>42786</v>
      </c>
      <c r="C12" s="1" t="str">
        <f>IF(Param!$B$9=1,DbExcel!C12,DbWservice!C12)</f>
        <v>Client 3</v>
      </c>
      <c r="D12" s="1">
        <f>IF(Param!$B$9=1,DbExcel!D12,DbWservice!D12)</f>
        <v>500</v>
      </c>
    </row>
    <row r="13" spans="1:4" x14ac:dyDescent="0.25">
      <c r="A13" s="1">
        <f>IF(Param!$B$9=1,DbExcel!A13,DbWservice!A13)</f>
        <v>9</v>
      </c>
      <c r="B13" s="1">
        <f>IF(Param!$B$9=1,DbExcel!B13,DbWservice!B13)</f>
        <v>42795</v>
      </c>
      <c r="C13" s="1" t="str">
        <f>IF(Param!$B$9=1,DbExcel!C13,DbWservice!C13)</f>
        <v>Client 1</v>
      </c>
      <c r="D13" s="1">
        <f>IF(Param!$B$9=1,DbExcel!D13,DbWservice!D13)</f>
        <v>3500</v>
      </c>
    </row>
    <row r="14" spans="1:4" x14ac:dyDescent="0.25">
      <c r="A14" s="1">
        <f>IF(Param!$B$9=1,DbExcel!A14,DbWservice!A14)</f>
        <v>10</v>
      </c>
      <c r="B14" s="1">
        <f>IF(Param!$B$9=1,DbExcel!B14,DbWservice!B14)</f>
        <v>42804</v>
      </c>
      <c r="C14" s="1" t="str">
        <f>IF(Param!$B$9=1,DbExcel!C14,DbWservice!C14)</f>
        <v>Client 7</v>
      </c>
      <c r="D14" s="1">
        <f>IF(Param!$B$9=1,DbExcel!D14,DbWservice!D14)</f>
        <v>3700</v>
      </c>
    </row>
    <row r="15" spans="1:4" x14ac:dyDescent="0.25">
      <c r="A15" s="1">
        <f>IF(Param!$B$9=1,DbExcel!A15,DbWservice!A15)</f>
        <v>11</v>
      </c>
      <c r="B15" s="1">
        <f>IF(Param!$B$9=1,DbExcel!B15,DbWservice!B15)</f>
        <v>42814</v>
      </c>
      <c r="C15" s="1" t="str">
        <f>IF(Param!$B$9=1,DbExcel!C15,DbWservice!C15)</f>
        <v>Client 3</v>
      </c>
      <c r="D15" s="1">
        <f>IF(Param!$B$9=1,DbExcel!D15,DbWservice!D15)</f>
        <v>1100</v>
      </c>
    </row>
    <row r="16" spans="1:4" x14ac:dyDescent="0.25">
      <c r="A16" s="1">
        <f>IF(Param!$B$9=1,DbExcel!A16,DbWservice!A16)</f>
        <v>12</v>
      </c>
      <c r="B16" s="1">
        <f>IF(Param!$B$9=1,DbExcel!B16,DbWservice!B16)</f>
        <v>42821</v>
      </c>
      <c r="C16" s="1" t="str">
        <f>IF(Param!$B$9=1,DbExcel!C16,DbWservice!C16)</f>
        <v>Client 8</v>
      </c>
      <c r="D16" s="1">
        <f>IF(Param!$B$9=1,DbExcel!D16,DbWservice!D16)</f>
        <v>2900</v>
      </c>
    </row>
    <row r="17" spans="1:4" x14ac:dyDescent="0.25">
      <c r="A17" s="1">
        <f>IF(Param!$B$9=1,DbExcel!A17,DbWservice!A17)</f>
        <v>0</v>
      </c>
      <c r="B17" s="1">
        <f>IF(Param!$B$9=1,DbExcel!B17,DbWservice!B17)</f>
        <v>0</v>
      </c>
      <c r="C17" s="1">
        <f>IF(Param!$B$9=1,DbExcel!C17,DbWservice!C17)</f>
        <v>0</v>
      </c>
      <c r="D17" s="1">
        <f>IF(Param!$B$9=1,DbExcel!D17,DbWservice!D17)</f>
        <v>0</v>
      </c>
    </row>
    <row r="18" spans="1:4" x14ac:dyDescent="0.25">
      <c r="A18" s="1">
        <f>IF(Param!$B$9=1,DbExcel!A18,DbWservice!A18)</f>
        <v>0</v>
      </c>
      <c r="B18" s="1">
        <f>IF(Param!$B$9=1,DbExcel!B18,DbWservice!B18)</f>
        <v>0</v>
      </c>
      <c r="C18" s="1">
        <f>IF(Param!$B$9=1,DbExcel!C18,DbWservice!C18)</f>
        <v>0</v>
      </c>
      <c r="D18" s="1">
        <f>IF(Param!$B$9=1,DbExcel!D18,DbWservice!D18)</f>
        <v>0</v>
      </c>
    </row>
    <row r="19" spans="1:4" x14ac:dyDescent="0.25">
      <c r="A19" s="1">
        <f>IF(Param!$B$9=1,DbExcel!A19,DbWservice!A19)</f>
        <v>0</v>
      </c>
      <c r="B19" s="1">
        <f>IF(Param!$B$9=1,DbExcel!B19,DbWservice!B19)</f>
        <v>0</v>
      </c>
      <c r="C19" s="1">
        <f>IF(Param!$B$9=1,DbExcel!C19,DbWservice!C19)</f>
        <v>0</v>
      </c>
      <c r="D19" s="1">
        <f>IF(Param!$B$9=1,DbExcel!D19,DbWservice!D19)</f>
        <v>0</v>
      </c>
    </row>
    <row r="20" spans="1:4" x14ac:dyDescent="0.25">
      <c r="A20" s="1">
        <f>IF(Param!$B$9=1,DbExcel!A20,DbWservice!A20)</f>
        <v>0</v>
      </c>
      <c r="B20" s="1">
        <f>IF(Param!$B$9=1,DbExcel!B20,DbWservice!B20)</f>
        <v>0</v>
      </c>
      <c r="C20" s="1">
        <f>IF(Param!$B$9=1,DbExcel!C20,DbWservice!C20)</f>
        <v>0</v>
      </c>
      <c r="D20" s="1">
        <f>IF(Param!$B$9=1,DbExcel!D20,DbWservice!D20)</f>
        <v>0</v>
      </c>
    </row>
    <row r="21" spans="1:4" x14ac:dyDescent="0.25">
      <c r="A21" s="1">
        <f>IF(Param!$B$9=1,DbExcel!A21,DbWservice!A21)</f>
        <v>0</v>
      </c>
      <c r="B21" s="1">
        <f>IF(Param!$B$9=1,DbExcel!B21,DbWservice!B21)</f>
        <v>0</v>
      </c>
      <c r="C21" s="1">
        <f>IF(Param!$B$9=1,DbExcel!C21,DbWservice!C21)</f>
        <v>0</v>
      </c>
      <c r="D21" s="1">
        <f>IF(Param!$B$9=1,DbExcel!D21,DbWservice!D21)</f>
        <v>0</v>
      </c>
    </row>
    <row r="22" spans="1:4" x14ac:dyDescent="0.25">
      <c r="A22" s="1">
        <f>IF(Param!$B$9=1,DbExcel!A22,DbWservice!A22)</f>
        <v>0</v>
      </c>
      <c r="B22" s="1">
        <f>IF(Param!$B$9=1,DbExcel!B22,DbWservice!B22)</f>
        <v>0</v>
      </c>
      <c r="C22" s="1">
        <f>IF(Param!$B$9=1,DbExcel!C22,DbWservice!C22)</f>
        <v>0</v>
      </c>
      <c r="D22" s="1">
        <f>IF(Param!$B$9=1,DbExcel!D22,DbWservice!D22)</f>
        <v>0</v>
      </c>
    </row>
    <row r="23" spans="1:4" x14ac:dyDescent="0.25">
      <c r="A23" s="1">
        <f>IF(Param!$B$9=1,DbExcel!A23,DbWservice!A23)</f>
        <v>0</v>
      </c>
      <c r="B23" s="1">
        <f>IF(Param!$B$9=1,DbExcel!B23,DbWservice!B23)</f>
        <v>0</v>
      </c>
      <c r="C23" s="1">
        <f>IF(Param!$B$9=1,DbExcel!C23,DbWservice!C23)</f>
        <v>0</v>
      </c>
      <c r="D23" s="1">
        <f>IF(Param!$B$9=1,DbExcel!D23,DbWservice!D23)</f>
        <v>0</v>
      </c>
    </row>
    <row r="24" spans="1:4" x14ac:dyDescent="0.25">
      <c r="A24" s="1">
        <f>IF(Param!$B$9=1,DbExcel!A24,DbWservice!A24)</f>
        <v>0</v>
      </c>
      <c r="B24" s="1">
        <f>IF(Param!$B$9=1,DbExcel!B24,DbWservice!B24)</f>
        <v>0</v>
      </c>
      <c r="C24" s="1">
        <f>IF(Param!$B$9=1,DbExcel!C24,DbWservice!C24)</f>
        <v>0</v>
      </c>
      <c r="D24" s="1">
        <f>IF(Param!$B$9=1,DbExcel!D24,DbWservice!D24)</f>
        <v>0</v>
      </c>
    </row>
    <row r="25" spans="1:4" x14ac:dyDescent="0.25">
      <c r="A25" s="1">
        <f>IF(Param!$B$9=1,DbExcel!A25,DbWservice!A25)</f>
        <v>0</v>
      </c>
      <c r="B25" s="1">
        <f>IF(Param!$B$9=1,DbExcel!B25,DbWservice!B25)</f>
        <v>0</v>
      </c>
      <c r="C25" s="1">
        <f>IF(Param!$B$9=1,DbExcel!C25,DbWservice!C25)</f>
        <v>0</v>
      </c>
      <c r="D25" s="1">
        <f>IF(Param!$B$9=1,DbExcel!D25,DbWservice!D25)</f>
        <v>0</v>
      </c>
    </row>
    <row r="26" spans="1:4" x14ac:dyDescent="0.25">
      <c r="A26" s="1">
        <f>IF(Param!$B$9=1,DbExcel!A26,DbWservice!A26)</f>
        <v>0</v>
      </c>
      <c r="B26" s="1">
        <f>IF(Param!$B$9=1,DbExcel!B26,DbWservice!B26)</f>
        <v>0</v>
      </c>
      <c r="C26" s="1">
        <f>IF(Param!$B$9=1,DbExcel!C26,DbWservice!C26)</f>
        <v>0</v>
      </c>
      <c r="D26" s="1">
        <f>IF(Param!$B$9=1,DbExcel!D26,DbWservice!D26)</f>
        <v>0</v>
      </c>
    </row>
    <row r="27" spans="1:4" x14ac:dyDescent="0.25">
      <c r="A27" s="1">
        <f>IF(Param!$B$9=1,DbExcel!A27,DbWservice!A27)</f>
        <v>0</v>
      </c>
      <c r="B27" s="1">
        <f>IF(Param!$B$9=1,DbExcel!B27,DbWservice!B27)</f>
        <v>0</v>
      </c>
      <c r="C27" s="1">
        <f>IF(Param!$B$9=1,DbExcel!C27,DbWservice!C27)</f>
        <v>0</v>
      </c>
      <c r="D27" s="1">
        <f>IF(Param!$B$9=1,DbExcel!D27,DbWservice!D27)</f>
        <v>0</v>
      </c>
    </row>
    <row r="28" spans="1:4" x14ac:dyDescent="0.25">
      <c r="A28" s="1">
        <f>IF(Param!$B$9=1,DbExcel!A28,DbWservice!A28)</f>
        <v>0</v>
      </c>
      <c r="B28" s="1">
        <f>IF(Param!$B$9=1,DbExcel!B28,DbWservice!B28)</f>
        <v>0</v>
      </c>
      <c r="C28" s="1">
        <f>IF(Param!$B$9=1,DbExcel!C28,DbWservice!C28)</f>
        <v>0</v>
      </c>
      <c r="D28" s="1">
        <f>IF(Param!$B$9=1,DbExcel!D28,DbWservice!D28)</f>
        <v>0</v>
      </c>
    </row>
    <row r="29" spans="1:4" x14ac:dyDescent="0.25">
      <c r="A29" s="1">
        <f>IF(Param!$B$9=1,DbExcel!A29,DbWservice!A29)</f>
        <v>0</v>
      </c>
      <c r="B29" s="1">
        <f>IF(Param!$B$9=1,DbExcel!B29,DbWservice!B29)</f>
        <v>0</v>
      </c>
      <c r="C29" s="1">
        <f>IF(Param!$B$9=1,DbExcel!C29,DbWservice!C29)</f>
        <v>0</v>
      </c>
      <c r="D29" s="1">
        <f>IF(Param!$B$9=1,DbExcel!D29,DbWservice!D29)</f>
        <v>0</v>
      </c>
    </row>
    <row r="30" spans="1:4" x14ac:dyDescent="0.25">
      <c r="A30" s="1">
        <f>IF(Param!$B$9=1,DbExcel!A30,DbWservice!A30)</f>
        <v>0</v>
      </c>
      <c r="B30" s="1">
        <f>IF(Param!$B$9=1,DbExcel!B30,DbWservice!B30)</f>
        <v>0</v>
      </c>
      <c r="C30" s="1">
        <f>IF(Param!$B$9=1,DbExcel!C30,DbWservice!C30)</f>
        <v>0</v>
      </c>
      <c r="D30" s="1">
        <f>IF(Param!$B$9=1,DbExcel!D30,DbWservice!D30)</f>
        <v>0</v>
      </c>
    </row>
    <row r="31" spans="1:4" x14ac:dyDescent="0.25">
      <c r="A31" s="1">
        <f>IF(Param!$B$9=1,DbExcel!A31,DbWservice!A31)</f>
        <v>0</v>
      </c>
      <c r="B31" s="1">
        <f>IF(Param!$B$9=1,DbExcel!B31,DbWservice!B31)</f>
        <v>0</v>
      </c>
      <c r="C31" s="1">
        <f>IF(Param!$B$9=1,DbExcel!C31,DbWservice!C31)</f>
        <v>0</v>
      </c>
      <c r="D31" s="1">
        <f>IF(Param!$B$9=1,DbExcel!D31,DbWservice!D31)</f>
        <v>0</v>
      </c>
    </row>
    <row r="32" spans="1:4" x14ac:dyDescent="0.25">
      <c r="A32" s="1">
        <f>IF(Param!$B$9=1,DbExcel!A32,DbWservice!A32)</f>
        <v>0</v>
      </c>
      <c r="B32" s="1">
        <f>IF(Param!$B$9=1,DbExcel!B32,DbWservice!B32)</f>
        <v>0</v>
      </c>
      <c r="C32" s="1">
        <f>IF(Param!$B$9=1,DbExcel!C32,DbWservice!C32)</f>
        <v>0</v>
      </c>
      <c r="D32" s="1">
        <f>IF(Param!$B$9=1,DbExcel!D32,DbWservice!D32)</f>
        <v>0</v>
      </c>
    </row>
    <row r="33" spans="1:4" x14ac:dyDescent="0.25">
      <c r="A33" s="1">
        <f>IF(Param!$B$9=1,DbExcel!A33,DbWservice!A33)</f>
        <v>0</v>
      </c>
      <c r="B33" s="1">
        <f>IF(Param!$B$9=1,DbExcel!B33,DbWservice!B33)</f>
        <v>0</v>
      </c>
      <c r="C33" s="1">
        <f>IF(Param!$B$9=1,DbExcel!C33,DbWservice!C33)</f>
        <v>0</v>
      </c>
      <c r="D33" s="1">
        <f>IF(Param!$B$9=1,DbExcel!D33,DbWservice!D33)</f>
        <v>0</v>
      </c>
    </row>
    <row r="34" spans="1:4" x14ac:dyDescent="0.25">
      <c r="A34" s="1">
        <f>IF(Param!$B$9=1,DbExcel!A34,DbWservice!A34)</f>
        <v>0</v>
      </c>
      <c r="B34" s="1">
        <f>IF(Param!$B$9=1,DbExcel!B34,DbWservice!B34)</f>
        <v>0</v>
      </c>
      <c r="C34" s="1">
        <f>IF(Param!$B$9=1,DbExcel!C34,DbWservice!C34)</f>
        <v>0</v>
      </c>
      <c r="D34" s="1">
        <f>IF(Param!$B$9=1,DbExcel!D34,DbWservice!D34)</f>
        <v>0</v>
      </c>
    </row>
    <row r="35" spans="1:4" x14ac:dyDescent="0.25">
      <c r="A35" s="1">
        <f>IF(Param!$B$9=1,DbExcel!A35,DbWservice!A35)</f>
        <v>0</v>
      </c>
      <c r="B35" s="1">
        <f>IF(Param!$B$9=1,DbExcel!B35,DbWservice!B35)</f>
        <v>0</v>
      </c>
      <c r="C35" s="1">
        <f>IF(Param!$B$9=1,DbExcel!C35,DbWservice!C35)</f>
        <v>0</v>
      </c>
      <c r="D35" s="1">
        <f>IF(Param!$B$9=1,DbExcel!D35,DbWservice!D35)</f>
        <v>0</v>
      </c>
    </row>
    <row r="36" spans="1:4" x14ac:dyDescent="0.25">
      <c r="A36" s="1">
        <f>IF(Param!$B$9=1,DbExcel!A36,DbWservice!A36)</f>
        <v>0</v>
      </c>
      <c r="B36" s="1">
        <f>IF(Param!$B$9=1,DbExcel!B36,DbWservice!B36)</f>
        <v>0</v>
      </c>
      <c r="C36" s="1">
        <f>IF(Param!$B$9=1,DbExcel!C36,DbWservice!C36)</f>
        <v>0</v>
      </c>
      <c r="D36" s="1">
        <f>IF(Param!$B$9=1,DbExcel!D36,DbWservice!D36)</f>
        <v>0</v>
      </c>
    </row>
    <row r="37" spans="1:4" x14ac:dyDescent="0.25">
      <c r="A37" s="1">
        <f>IF(Param!$B$9=1,DbExcel!A37,DbWservice!A37)</f>
        <v>0</v>
      </c>
      <c r="B37" s="1">
        <f>IF(Param!$B$9=1,DbExcel!B37,DbWservice!B37)</f>
        <v>0</v>
      </c>
      <c r="C37" s="1">
        <f>IF(Param!$B$9=1,DbExcel!C37,DbWservice!C37)</f>
        <v>0</v>
      </c>
      <c r="D37" s="1">
        <f>IF(Param!$B$9=1,DbExcel!D37,DbWservice!D37)</f>
        <v>0</v>
      </c>
    </row>
    <row r="38" spans="1:4" x14ac:dyDescent="0.25">
      <c r="A38" s="1">
        <f>IF(Param!$B$9=1,DbExcel!A38,DbWservice!A38)</f>
        <v>0</v>
      </c>
      <c r="B38" s="1">
        <f>IF(Param!$B$9=1,DbExcel!B38,DbWservice!B38)</f>
        <v>0</v>
      </c>
      <c r="C38" s="1">
        <f>IF(Param!$B$9=1,DbExcel!C38,DbWservice!C38)</f>
        <v>0</v>
      </c>
      <c r="D38" s="1">
        <f>IF(Param!$B$9=1,DbExcel!D38,DbWservice!D38)</f>
        <v>0</v>
      </c>
    </row>
    <row r="39" spans="1:4" x14ac:dyDescent="0.25">
      <c r="A39" s="1">
        <f>IF(Param!$B$9=1,DbExcel!A39,DbWservice!A39)</f>
        <v>0</v>
      </c>
      <c r="B39" s="1">
        <f>IF(Param!$B$9=1,DbExcel!B39,DbWservice!B39)</f>
        <v>0</v>
      </c>
      <c r="C39" s="1">
        <f>IF(Param!$B$9=1,DbExcel!C39,DbWservice!C39)</f>
        <v>0</v>
      </c>
      <c r="D39" s="1">
        <f>IF(Param!$B$9=1,DbExcel!D39,DbWservice!D39)</f>
        <v>0</v>
      </c>
    </row>
    <row r="40" spans="1:4" x14ac:dyDescent="0.25">
      <c r="A40" s="1">
        <f>IF(Param!$B$9=1,DbExcel!A40,DbWservice!A40)</f>
        <v>0</v>
      </c>
      <c r="B40" s="1">
        <f>IF(Param!$B$9=1,DbExcel!B40,DbWservice!B40)</f>
        <v>0</v>
      </c>
      <c r="C40" s="1">
        <f>IF(Param!$B$9=1,DbExcel!C40,DbWservice!C40)</f>
        <v>0</v>
      </c>
      <c r="D40" s="1">
        <f>IF(Param!$B$9=1,DbExcel!D40,DbWservice!D40)</f>
        <v>0</v>
      </c>
    </row>
    <row r="41" spans="1:4" x14ac:dyDescent="0.25">
      <c r="A41" s="1">
        <f>IF(Param!$B$9=1,DbExcel!A41,DbWservice!A41)</f>
        <v>0</v>
      </c>
      <c r="B41" s="1">
        <f>IF(Param!$B$9=1,DbExcel!B41,DbWservice!B41)</f>
        <v>0</v>
      </c>
      <c r="C41" s="1">
        <f>IF(Param!$B$9=1,DbExcel!C41,DbWservice!C41)</f>
        <v>0</v>
      </c>
      <c r="D41" s="1">
        <f>IF(Param!$B$9=1,DbExcel!D41,DbWservice!D41)</f>
        <v>0</v>
      </c>
    </row>
    <row r="42" spans="1:4" x14ac:dyDescent="0.25">
      <c r="A42" s="1">
        <f>IF(Param!$B$9=1,DbExcel!A42,DbWservice!A42)</f>
        <v>0</v>
      </c>
      <c r="B42" s="1">
        <f>IF(Param!$B$9=1,DbExcel!B42,DbWservice!B42)</f>
        <v>0</v>
      </c>
      <c r="C42" s="1">
        <f>IF(Param!$B$9=1,DbExcel!C42,DbWservice!C42)</f>
        <v>0</v>
      </c>
      <c r="D42" s="1">
        <f>IF(Param!$B$9=1,DbExcel!D42,DbWservice!D42)</f>
        <v>0</v>
      </c>
    </row>
    <row r="43" spans="1:4" x14ac:dyDescent="0.25">
      <c r="A43" s="1">
        <f>IF(Param!$B$9=1,DbExcel!A43,DbWservice!A43)</f>
        <v>0</v>
      </c>
      <c r="B43" s="1">
        <f>IF(Param!$B$9=1,DbExcel!B43,DbWservice!B43)</f>
        <v>0</v>
      </c>
      <c r="C43" s="1">
        <f>IF(Param!$B$9=1,DbExcel!C43,DbWservice!C43)</f>
        <v>0</v>
      </c>
      <c r="D43" s="1">
        <f>IF(Param!$B$9=1,DbExcel!D43,DbWservice!D43)</f>
        <v>0</v>
      </c>
    </row>
    <row r="44" spans="1:4" x14ac:dyDescent="0.25">
      <c r="A44" s="1">
        <f>IF(Param!$B$9=1,DbExcel!A44,DbWservice!A44)</f>
        <v>0</v>
      </c>
      <c r="B44" s="1">
        <f>IF(Param!$B$9=1,DbExcel!B44,DbWservice!B44)</f>
        <v>0</v>
      </c>
      <c r="C44" s="1">
        <f>IF(Param!$B$9=1,DbExcel!C44,DbWservice!C44)</f>
        <v>0</v>
      </c>
      <c r="D44" s="1">
        <f>IF(Param!$B$9=1,DbExcel!D44,DbWservice!D44)</f>
        <v>0</v>
      </c>
    </row>
    <row r="45" spans="1:4" x14ac:dyDescent="0.25">
      <c r="A45" s="1">
        <f>IF(Param!$B$9=1,DbExcel!A45,DbWservice!A45)</f>
        <v>0</v>
      </c>
      <c r="B45" s="1">
        <f>IF(Param!$B$9=1,DbExcel!B45,DbWservice!B45)</f>
        <v>0</v>
      </c>
      <c r="C45" s="1">
        <f>IF(Param!$B$9=1,DbExcel!C45,DbWservice!C45)</f>
        <v>0</v>
      </c>
      <c r="D45" s="1">
        <f>IF(Param!$B$9=1,DbExcel!D45,DbWservice!D45)</f>
        <v>0</v>
      </c>
    </row>
    <row r="46" spans="1:4" x14ac:dyDescent="0.25">
      <c r="A46" s="1">
        <f>IF(Param!$B$9=1,DbExcel!A46,DbWservice!A46)</f>
        <v>0</v>
      </c>
      <c r="B46" s="1">
        <f>IF(Param!$B$9=1,DbExcel!B46,DbWservice!B46)</f>
        <v>0</v>
      </c>
      <c r="C46" s="1">
        <f>IF(Param!$B$9=1,DbExcel!C46,DbWservice!C46)</f>
        <v>0</v>
      </c>
      <c r="D46" s="1">
        <f>IF(Param!$B$9=1,DbExcel!D46,DbWservice!D46)</f>
        <v>0</v>
      </c>
    </row>
    <row r="47" spans="1:4" x14ac:dyDescent="0.25">
      <c r="A47" s="1">
        <f>IF(Param!$B$9=1,DbExcel!A47,DbWservice!A47)</f>
        <v>0</v>
      </c>
      <c r="B47" s="1">
        <f>IF(Param!$B$9=1,DbExcel!B47,DbWservice!B47)</f>
        <v>0</v>
      </c>
      <c r="C47" s="1">
        <f>IF(Param!$B$9=1,DbExcel!C47,DbWservice!C47)</f>
        <v>0</v>
      </c>
      <c r="D47" s="1">
        <f>IF(Param!$B$9=1,DbExcel!D47,DbWservice!D47)</f>
        <v>0</v>
      </c>
    </row>
    <row r="48" spans="1:4" x14ac:dyDescent="0.25">
      <c r="A48" s="1">
        <f>IF(Param!$B$9=1,DbExcel!A48,DbWservice!A48)</f>
        <v>0</v>
      </c>
      <c r="B48" s="1">
        <f>IF(Param!$B$9=1,DbExcel!B48,DbWservice!B48)</f>
        <v>0</v>
      </c>
      <c r="C48" s="1">
        <f>IF(Param!$B$9=1,DbExcel!C48,DbWservice!C48)</f>
        <v>0</v>
      </c>
      <c r="D48" s="1">
        <f>IF(Param!$B$9=1,DbExcel!D48,DbWservice!D48)</f>
        <v>0</v>
      </c>
    </row>
    <row r="49" spans="1:4" x14ac:dyDescent="0.25">
      <c r="A49" s="1">
        <f>IF(Param!$B$9=1,DbExcel!A49,DbWservice!A49)</f>
        <v>0</v>
      </c>
      <c r="B49" s="1">
        <f>IF(Param!$B$9=1,DbExcel!B49,DbWservice!B49)</f>
        <v>0</v>
      </c>
      <c r="C49" s="1">
        <f>IF(Param!$B$9=1,DbExcel!C49,DbWservice!C49)</f>
        <v>0</v>
      </c>
      <c r="D49" s="1">
        <f>IF(Param!$B$9=1,DbExcel!D49,DbWservice!D49)</f>
        <v>0</v>
      </c>
    </row>
    <row r="50" spans="1:4" x14ac:dyDescent="0.25">
      <c r="A50" s="1">
        <f>IF(Param!$B$9=1,DbExcel!A50,DbWservice!A50)</f>
        <v>0</v>
      </c>
      <c r="B50" s="1">
        <f>IF(Param!$B$9=1,DbExcel!B50,DbWservice!B50)</f>
        <v>0</v>
      </c>
      <c r="C50" s="1">
        <f>IF(Param!$B$9=1,DbExcel!C50,DbWservice!C50)</f>
        <v>0</v>
      </c>
      <c r="D50" s="1">
        <f>IF(Param!$B$9=1,DbExcel!D50,DbWservice!D50)</f>
        <v>0</v>
      </c>
    </row>
    <row r="51" spans="1:4" x14ac:dyDescent="0.25">
      <c r="A51" s="1">
        <f>IF(Param!$B$9=1,DbExcel!A51,DbWservice!A51)</f>
        <v>0</v>
      </c>
      <c r="B51" s="1">
        <f>IF(Param!$B$9=1,DbExcel!B51,DbWservice!B51)</f>
        <v>0</v>
      </c>
      <c r="C51" s="1">
        <f>IF(Param!$B$9=1,DbExcel!C51,DbWservice!C51)</f>
        <v>0</v>
      </c>
      <c r="D51" s="1">
        <f>IF(Param!$B$9=1,DbExcel!D51,DbWservice!D51)</f>
        <v>0</v>
      </c>
    </row>
    <row r="52" spans="1:4" x14ac:dyDescent="0.25">
      <c r="A52" s="1">
        <f>IF(Param!$B$9=1,DbExcel!A52,DbWservice!A52)</f>
        <v>0</v>
      </c>
      <c r="B52" s="1">
        <f>IF(Param!$B$9=1,DbExcel!B52,DbWservice!B52)</f>
        <v>0</v>
      </c>
      <c r="C52" s="1">
        <f>IF(Param!$B$9=1,DbExcel!C52,DbWservice!C52)</f>
        <v>0</v>
      </c>
      <c r="D52" s="1">
        <f>IF(Param!$B$9=1,DbExcel!D52,DbWservice!D52)</f>
        <v>0</v>
      </c>
    </row>
    <row r="53" spans="1:4" x14ac:dyDescent="0.25">
      <c r="A53" s="1">
        <f>IF(Param!$B$9=1,DbExcel!A53,DbWservice!A53)</f>
        <v>0</v>
      </c>
      <c r="B53" s="1">
        <f>IF(Param!$B$9=1,DbExcel!B53,DbWservice!B53)</f>
        <v>0</v>
      </c>
      <c r="C53" s="1">
        <f>IF(Param!$B$9=1,DbExcel!C53,DbWservice!C53)</f>
        <v>0</v>
      </c>
      <c r="D53" s="1">
        <f>IF(Param!$B$9=1,DbExcel!D53,DbWservice!D53)</f>
        <v>0</v>
      </c>
    </row>
    <row r="54" spans="1:4" x14ac:dyDescent="0.25">
      <c r="A54" s="1">
        <f>IF(Param!$B$9=1,DbExcel!A54,DbWservice!A54)</f>
        <v>0</v>
      </c>
      <c r="B54" s="1">
        <f>IF(Param!$B$9=1,DbExcel!B54,DbWservice!B54)</f>
        <v>0</v>
      </c>
      <c r="C54" s="1">
        <f>IF(Param!$B$9=1,DbExcel!C54,DbWservice!C54)</f>
        <v>0</v>
      </c>
      <c r="D54" s="1">
        <f>IF(Param!$B$9=1,DbExcel!D54,DbWservice!D54)</f>
        <v>0</v>
      </c>
    </row>
    <row r="55" spans="1:4" x14ac:dyDescent="0.25">
      <c r="A55" s="1">
        <f>IF(Param!$B$9=1,DbExcel!A55,DbWservice!A55)</f>
        <v>0</v>
      </c>
      <c r="B55" s="1">
        <f>IF(Param!$B$9=1,DbExcel!B55,DbWservice!B55)</f>
        <v>0</v>
      </c>
      <c r="C55" s="1">
        <f>IF(Param!$B$9=1,DbExcel!C55,DbWservice!C55)</f>
        <v>0</v>
      </c>
      <c r="D55" s="1">
        <f>IF(Param!$B$9=1,DbExcel!D55,DbWservice!D55)</f>
        <v>0</v>
      </c>
    </row>
    <row r="56" spans="1:4" x14ac:dyDescent="0.25">
      <c r="A56" s="1">
        <f>IF(Param!$B$9=1,DbExcel!A56,DbWservice!A56)</f>
        <v>0</v>
      </c>
      <c r="B56" s="1">
        <f>IF(Param!$B$9=1,DbExcel!B56,DbWservice!B56)</f>
        <v>0</v>
      </c>
      <c r="C56" s="1">
        <f>IF(Param!$B$9=1,DbExcel!C56,DbWservice!C56)</f>
        <v>0</v>
      </c>
      <c r="D56" s="1">
        <f>IF(Param!$B$9=1,DbExcel!D56,DbWservice!D56)</f>
        <v>0</v>
      </c>
    </row>
    <row r="57" spans="1:4" x14ac:dyDescent="0.25">
      <c r="A57" s="1">
        <f>IF(Param!$B$9=1,DbExcel!A57,DbWservice!A57)</f>
        <v>0</v>
      </c>
      <c r="B57" s="1">
        <f>IF(Param!$B$9=1,DbExcel!B57,DbWservice!B57)</f>
        <v>0</v>
      </c>
      <c r="C57" s="1">
        <f>IF(Param!$B$9=1,DbExcel!C57,DbWservice!C57)</f>
        <v>0</v>
      </c>
      <c r="D57" s="1">
        <f>IF(Param!$B$9=1,DbExcel!D57,DbWservice!D57)</f>
        <v>0</v>
      </c>
    </row>
    <row r="58" spans="1:4" x14ac:dyDescent="0.25">
      <c r="A58" s="1">
        <f>IF(Param!$B$9=1,DbExcel!A58,DbWservice!A58)</f>
        <v>0</v>
      </c>
      <c r="B58" s="1">
        <f>IF(Param!$B$9=1,DbExcel!B58,DbWservice!B58)</f>
        <v>0</v>
      </c>
      <c r="C58" s="1">
        <f>IF(Param!$B$9=1,DbExcel!C58,DbWservice!C58)</f>
        <v>0</v>
      </c>
      <c r="D58" s="1">
        <f>IF(Param!$B$9=1,DbExcel!D58,DbWservice!D58)</f>
        <v>0</v>
      </c>
    </row>
    <row r="59" spans="1:4" x14ac:dyDescent="0.25">
      <c r="A59" s="1">
        <f>IF(Param!$B$9=1,DbExcel!A59,DbWservice!A59)</f>
        <v>0</v>
      </c>
      <c r="B59" s="1">
        <f>IF(Param!$B$9=1,DbExcel!B59,DbWservice!B59)</f>
        <v>0</v>
      </c>
      <c r="C59" s="1">
        <f>IF(Param!$B$9=1,DbExcel!C59,DbWservice!C59)</f>
        <v>0</v>
      </c>
      <c r="D59" s="1">
        <f>IF(Param!$B$9=1,DbExcel!D59,DbWservice!D59)</f>
        <v>0</v>
      </c>
    </row>
    <row r="60" spans="1:4" x14ac:dyDescent="0.25">
      <c r="A60" s="1">
        <f>IF(Param!$B$9=1,DbExcel!A60,DbWservice!A60)</f>
        <v>0</v>
      </c>
      <c r="B60" s="1">
        <f>IF(Param!$B$9=1,DbExcel!B60,DbWservice!B60)</f>
        <v>0</v>
      </c>
      <c r="C60" s="1">
        <f>IF(Param!$B$9=1,DbExcel!C60,DbWservice!C60)</f>
        <v>0</v>
      </c>
      <c r="D60" s="1">
        <f>IF(Param!$B$9=1,DbExcel!D60,DbWservice!D60)</f>
        <v>0</v>
      </c>
    </row>
    <row r="61" spans="1:4" x14ac:dyDescent="0.25">
      <c r="A61" s="1">
        <f>IF(Param!$B$9=1,DbExcel!A61,DbWservice!A61)</f>
        <v>0</v>
      </c>
      <c r="B61" s="1">
        <f>IF(Param!$B$9=1,DbExcel!B61,DbWservice!B61)</f>
        <v>0</v>
      </c>
      <c r="C61" s="1">
        <f>IF(Param!$B$9=1,DbExcel!C61,DbWservice!C61)</f>
        <v>0</v>
      </c>
      <c r="D61" s="1">
        <f>IF(Param!$B$9=1,DbExcel!D61,DbWservice!D61)</f>
        <v>0</v>
      </c>
    </row>
    <row r="62" spans="1:4" x14ac:dyDescent="0.25">
      <c r="A62" s="1">
        <f>IF(Param!$B$9=1,DbExcel!A62,DbWservice!A62)</f>
        <v>0</v>
      </c>
      <c r="B62" s="1">
        <f>IF(Param!$B$9=1,DbExcel!B62,DbWservice!B62)</f>
        <v>0</v>
      </c>
      <c r="C62" s="1">
        <f>IF(Param!$B$9=1,DbExcel!C62,DbWservice!C62)</f>
        <v>0</v>
      </c>
      <c r="D62" s="1">
        <f>IF(Param!$B$9=1,DbExcel!D62,DbWservice!D62)</f>
        <v>0</v>
      </c>
    </row>
    <row r="63" spans="1:4" x14ac:dyDescent="0.25">
      <c r="A63" s="1">
        <f>IF(Param!$B$9=1,DbExcel!A63,DbWservice!A63)</f>
        <v>0</v>
      </c>
      <c r="B63" s="1">
        <f>IF(Param!$B$9=1,DbExcel!B63,DbWservice!B63)</f>
        <v>0</v>
      </c>
      <c r="C63" s="1">
        <f>IF(Param!$B$9=1,DbExcel!C63,DbWservice!C63)</f>
        <v>0</v>
      </c>
      <c r="D63" s="1">
        <f>IF(Param!$B$9=1,DbExcel!D63,DbWservice!D63)</f>
        <v>0</v>
      </c>
    </row>
    <row r="64" spans="1:4" x14ac:dyDescent="0.25">
      <c r="A64" s="1">
        <f>IF(Param!$B$9=1,DbExcel!A64,DbWservice!A64)</f>
        <v>0</v>
      </c>
      <c r="B64" s="1">
        <f>IF(Param!$B$9=1,DbExcel!B64,DbWservice!B64)</f>
        <v>0</v>
      </c>
      <c r="C64" s="1">
        <f>IF(Param!$B$9=1,DbExcel!C64,DbWservice!C64)</f>
        <v>0</v>
      </c>
      <c r="D64" s="1">
        <f>IF(Param!$B$9=1,DbExcel!D64,DbWservice!D64)</f>
        <v>0</v>
      </c>
    </row>
    <row r="65" spans="1:4" x14ac:dyDescent="0.25">
      <c r="A65" s="1">
        <f>IF(Param!$B$9=1,DbExcel!A65,DbWservice!A65)</f>
        <v>0</v>
      </c>
      <c r="B65" s="1">
        <f>IF(Param!$B$9=1,DbExcel!B65,DbWservice!B65)</f>
        <v>0</v>
      </c>
      <c r="C65" s="1">
        <f>IF(Param!$B$9=1,DbExcel!C65,DbWservice!C65)</f>
        <v>0</v>
      </c>
      <c r="D65" s="1">
        <f>IF(Param!$B$9=1,DbExcel!D65,DbWservice!D65)</f>
        <v>0</v>
      </c>
    </row>
    <row r="66" spans="1:4" x14ac:dyDescent="0.25">
      <c r="A66" s="1">
        <f>IF(Param!$B$9=1,DbExcel!A66,DbWservice!A66)</f>
        <v>0</v>
      </c>
      <c r="B66" s="1">
        <f>IF(Param!$B$9=1,DbExcel!B66,DbWservice!B66)</f>
        <v>0</v>
      </c>
      <c r="C66" s="1">
        <f>IF(Param!$B$9=1,DbExcel!C66,DbWservice!C66)</f>
        <v>0</v>
      </c>
      <c r="D66" s="1">
        <f>IF(Param!$B$9=1,DbExcel!D66,DbWservice!D66)</f>
        <v>0</v>
      </c>
    </row>
    <row r="67" spans="1:4" x14ac:dyDescent="0.25">
      <c r="A67" s="1">
        <f>IF(Param!$B$9=1,DbExcel!A67,DbWservice!A67)</f>
        <v>0</v>
      </c>
      <c r="B67" s="1">
        <f>IF(Param!$B$9=1,DbExcel!B67,DbWservice!B67)</f>
        <v>0</v>
      </c>
      <c r="C67" s="1">
        <f>IF(Param!$B$9=1,DbExcel!C67,DbWservice!C67)</f>
        <v>0</v>
      </c>
      <c r="D67" s="1">
        <f>IF(Param!$B$9=1,DbExcel!D67,DbWservice!D67)</f>
        <v>0</v>
      </c>
    </row>
    <row r="68" spans="1:4" x14ac:dyDescent="0.25">
      <c r="A68" s="1">
        <f>IF(Param!$B$9=1,DbExcel!A68,DbWservice!A68)</f>
        <v>0</v>
      </c>
      <c r="B68" s="1">
        <f>IF(Param!$B$9=1,DbExcel!B68,DbWservice!B68)</f>
        <v>0</v>
      </c>
      <c r="C68" s="1">
        <f>IF(Param!$B$9=1,DbExcel!C68,DbWservice!C68)</f>
        <v>0</v>
      </c>
      <c r="D68" s="1">
        <f>IF(Param!$B$9=1,DbExcel!D68,DbWservice!D68)</f>
        <v>0</v>
      </c>
    </row>
    <row r="69" spans="1:4" x14ac:dyDescent="0.25">
      <c r="A69" s="1">
        <f>IF(Param!$B$9=1,DbExcel!A69,DbWservice!A69)</f>
        <v>0</v>
      </c>
      <c r="B69" s="1">
        <f>IF(Param!$B$9=1,DbExcel!B69,DbWservice!B69)</f>
        <v>0</v>
      </c>
      <c r="C69" s="1">
        <f>IF(Param!$B$9=1,DbExcel!C69,DbWservice!C69)</f>
        <v>0</v>
      </c>
      <c r="D69" s="1">
        <f>IF(Param!$B$9=1,DbExcel!D69,DbWservice!D69)</f>
        <v>0</v>
      </c>
    </row>
    <row r="70" spans="1:4" x14ac:dyDescent="0.25">
      <c r="A70" s="1">
        <f>IF(Param!$B$9=1,DbExcel!A70,DbWservice!A70)</f>
        <v>0</v>
      </c>
      <c r="B70" s="1">
        <f>IF(Param!$B$9=1,DbExcel!B70,DbWservice!B70)</f>
        <v>0</v>
      </c>
      <c r="C70" s="1">
        <f>IF(Param!$B$9=1,DbExcel!C70,DbWservice!C70)</f>
        <v>0</v>
      </c>
      <c r="D70" s="1">
        <f>IF(Param!$B$9=1,DbExcel!D70,DbWservice!D70)</f>
        <v>0</v>
      </c>
    </row>
    <row r="71" spans="1:4" x14ac:dyDescent="0.25">
      <c r="A71" s="1">
        <f>IF(Param!$B$9=1,DbExcel!A71,DbWservice!A71)</f>
        <v>0</v>
      </c>
      <c r="B71" s="1">
        <f>IF(Param!$B$9=1,DbExcel!B71,DbWservice!B71)</f>
        <v>0</v>
      </c>
      <c r="C71" s="1">
        <f>IF(Param!$B$9=1,DbExcel!C71,DbWservice!C71)</f>
        <v>0</v>
      </c>
      <c r="D71" s="1">
        <f>IF(Param!$B$9=1,DbExcel!D71,DbWservice!D71)</f>
        <v>0</v>
      </c>
    </row>
    <row r="72" spans="1:4" x14ac:dyDescent="0.25">
      <c r="A72" s="1">
        <f>IF(Param!$B$9=1,DbExcel!A72,DbWservice!A72)</f>
        <v>0</v>
      </c>
      <c r="B72" s="1">
        <f>IF(Param!$B$9=1,DbExcel!B72,DbWservice!B72)</f>
        <v>0</v>
      </c>
      <c r="C72" s="1">
        <f>IF(Param!$B$9=1,DbExcel!C72,DbWservice!C72)</f>
        <v>0</v>
      </c>
      <c r="D72" s="1">
        <f>IF(Param!$B$9=1,DbExcel!D72,DbWservice!D72)</f>
        <v>0</v>
      </c>
    </row>
    <row r="73" spans="1:4" x14ac:dyDescent="0.25">
      <c r="A73" s="1">
        <f>IF(Param!$B$9=1,DbExcel!A73,DbWservice!A73)</f>
        <v>0</v>
      </c>
      <c r="B73" s="1">
        <f>IF(Param!$B$9=1,DbExcel!B73,DbWservice!B73)</f>
        <v>0</v>
      </c>
      <c r="C73" s="1">
        <f>IF(Param!$B$9=1,DbExcel!C73,DbWservice!C73)</f>
        <v>0</v>
      </c>
      <c r="D73" s="1">
        <f>IF(Param!$B$9=1,DbExcel!D73,DbWservice!D73)</f>
        <v>0</v>
      </c>
    </row>
    <row r="74" spans="1:4" x14ac:dyDescent="0.25">
      <c r="A74" s="1">
        <f>IF(Param!$B$9=1,DbExcel!A74,DbWservice!A74)</f>
        <v>0</v>
      </c>
      <c r="B74" s="1">
        <f>IF(Param!$B$9=1,DbExcel!B74,DbWservice!B74)</f>
        <v>0</v>
      </c>
      <c r="C74" s="1">
        <f>IF(Param!$B$9=1,DbExcel!C74,DbWservice!C74)</f>
        <v>0</v>
      </c>
      <c r="D74" s="1">
        <f>IF(Param!$B$9=1,DbExcel!D74,DbWservice!D74)</f>
        <v>0</v>
      </c>
    </row>
    <row r="75" spans="1:4" x14ac:dyDescent="0.25">
      <c r="A75" s="1">
        <f>IF(Param!$B$9=1,DbExcel!A75,DbWservice!A75)</f>
        <v>0</v>
      </c>
      <c r="B75" s="1">
        <f>IF(Param!$B$9=1,DbExcel!B75,DbWservice!B75)</f>
        <v>0</v>
      </c>
      <c r="C75" s="1">
        <f>IF(Param!$B$9=1,DbExcel!C75,DbWservice!C75)</f>
        <v>0</v>
      </c>
      <c r="D75" s="1">
        <f>IF(Param!$B$9=1,DbExcel!D75,DbWservice!D75)</f>
        <v>0</v>
      </c>
    </row>
    <row r="76" spans="1:4" x14ac:dyDescent="0.25">
      <c r="A76" s="1">
        <f>IF(Param!$B$9=1,DbExcel!A76,DbWservice!A76)</f>
        <v>0</v>
      </c>
      <c r="B76" s="1">
        <f>IF(Param!$B$9=1,DbExcel!B76,DbWservice!B76)</f>
        <v>0</v>
      </c>
      <c r="C76" s="1">
        <f>IF(Param!$B$9=1,DbExcel!C76,DbWservice!C76)</f>
        <v>0</v>
      </c>
      <c r="D76" s="1">
        <f>IF(Param!$B$9=1,DbExcel!D76,DbWservice!D76)</f>
        <v>0</v>
      </c>
    </row>
    <row r="77" spans="1:4" x14ac:dyDescent="0.25">
      <c r="A77" s="1">
        <f>IF(Param!$B$9=1,DbExcel!A77,DbWservice!A77)</f>
        <v>0</v>
      </c>
      <c r="B77" s="1">
        <f>IF(Param!$B$9=1,DbExcel!B77,DbWservice!B77)</f>
        <v>0</v>
      </c>
      <c r="C77" s="1">
        <f>IF(Param!$B$9=1,DbExcel!C77,DbWservice!C77)</f>
        <v>0</v>
      </c>
      <c r="D77" s="1">
        <f>IF(Param!$B$9=1,DbExcel!D77,DbWservice!D77)</f>
        <v>0</v>
      </c>
    </row>
    <row r="78" spans="1:4" x14ac:dyDescent="0.25">
      <c r="A78" s="1">
        <f>IF(Param!$B$9=1,DbExcel!A78,DbWservice!A78)</f>
        <v>0</v>
      </c>
      <c r="B78" s="1">
        <f>IF(Param!$B$9=1,DbExcel!B78,DbWservice!B78)</f>
        <v>0</v>
      </c>
      <c r="C78" s="1">
        <f>IF(Param!$B$9=1,DbExcel!C78,DbWservice!C78)</f>
        <v>0</v>
      </c>
      <c r="D78" s="1">
        <f>IF(Param!$B$9=1,DbExcel!D78,DbWservice!D78)</f>
        <v>0</v>
      </c>
    </row>
    <row r="79" spans="1:4" x14ac:dyDescent="0.25">
      <c r="A79" s="1">
        <f>IF(Param!$B$9=1,DbExcel!A79,DbWservice!A79)</f>
        <v>0</v>
      </c>
      <c r="B79" s="1">
        <f>IF(Param!$B$9=1,DbExcel!B79,DbWservice!B79)</f>
        <v>0</v>
      </c>
      <c r="C79" s="1">
        <f>IF(Param!$B$9=1,DbExcel!C79,DbWservice!C79)</f>
        <v>0</v>
      </c>
      <c r="D79" s="1">
        <f>IF(Param!$B$9=1,DbExcel!D79,DbWservice!D79)</f>
        <v>0</v>
      </c>
    </row>
    <row r="80" spans="1:4" x14ac:dyDescent="0.25">
      <c r="A80" s="1">
        <f>IF(Param!$B$9=1,DbExcel!A80,DbWservice!A80)</f>
        <v>0</v>
      </c>
      <c r="B80" s="1">
        <f>IF(Param!$B$9=1,DbExcel!B80,DbWservice!B80)</f>
        <v>0</v>
      </c>
      <c r="C80" s="1">
        <f>IF(Param!$B$9=1,DbExcel!C80,DbWservice!C80)</f>
        <v>0</v>
      </c>
      <c r="D80" s="1">
        <f>IF(Param!$B$9=1,DbExcel!D80,DbWservice!D80)</f>
        <v>0</v>
      </c>
    </row>
    <row r="81" spans="1:4" x14ac:dyDescent="0.25">
      <c r="A81" s="1">
        <f>IF(Param!$B$9=1,DbExcel!A81,DbWservice!A81)</f>
        <v>0</v>
      </c>
      <c r="B81" s="1">
        <f>IF(Param!$B$9=1,DbExcel!B81,DbWservice!B81)</f>
        <v>0</v>
      </c>
      <c r="C81" s="1">
        <f>IF(Param!$B$9=1,DbExcel!C81,DbWservice!C81)</f>
        <v>0</v>
      </c>
      <c r="D81" s="1">
        <f>IF(Param!$B$9=1,DbExcel!D81,DbWservice!D81)</f>
        <v>0</v>
      </c>
    </row>
    <row r="82" spans="1:4" x14ac:dyDescent="0.25">
      <c r="A82" s="1">
        <f>IF(Param!$B$9=1,DbExcel!A82,DbWservice!A82)</f>
        <v>0</v>
      </c>
      <c r="B82" s="1">
        <f>IF(Param!$B$9=1,DbExcel!B82,DbWservice!B82)</f>
        <v>0</v>
      </c>
      <c r="C82" s="1">
        <f>IF(Param!$B$9=1,DbExcel!C82,DbWservice!C82)</f>
        <v>0</v>
      </c>
      <c r="D82" s="1">
        <f>IF(Param!$B$9=1,DbExcel!D82,DbWservice!D82)</f>
        <v>0</v>
      </c>
    </row>
    <row r="83" spans="1:4" x14ac:dyDescent="0.25">
      <c r="A83" s="1">
        <f>IF(Param!$B$9=1,DbExcel!A83,DbWservice!A83)</f>
        <v>0</v>
      </c>
      <c r="B83" s="1">
        <f>IF(Param!$B$9=1,DbExcel!B83,DbWservice!B83)</f>
        <v>0</v>
      </c>
      <c r="C83" s="1">
        <f>IF(Param!$B$9=1,DbExcel!C83,DbWservice!C83)</f>
        <v>0</v>
      </c>
      <c r="D83" s="1">
        <f>IF(Param!$B$9=1,DbExcel!D83,DbWservice!D83)</f>
        <v>0</v>
      </c>
    </row>
    <row r="84" spans="1:4" x14ac:dyDescent="0.25">
      <c r="A84" s="1">
        <f>IF(Param!$B$9=1,DbExcel!A84,DbWservice!A84)</f>
        <v>0</v>
      </c>
      <c r="B84" s="1">
        <f>IF(Param!$B$9=1,DbExcel!B84,DbWservice!B84)</f>
        <v>0</v>
      </c>
      <c r="C84" s="1">
        <f>IF(Param!$B$9=1,DbExcel!C84,DbWservice!C84)</f>
        <v>0</v>
      </c>
      <c r="D84" s="1">
        <f>IF(Param!$B$9=1,DbExcel!D84,DbWservice!D84)</f>
        <v>0</v>
      </c>
    </row>
    <row r="85" spans="1:4" x14ac:dyDescent="0.25">
      <c r="A85" s="1">
        <f>IF(Param!$B$9=1,DbExcel!A85,DbWservice!A85)</f>
        <v>0</v>
      </c>
      <c r="B85" s="1">
        <f>IF(Param!$B$9=1,DbExcel!B85,DbWservice!B85)</f>
        <v>0</v>
      </c>
      <c r="C85" s="1">
        <f>IF(Param!$B$9=1,DbExcel!C85,DbWservice!C85)</f>
        <v>0</v>
      </c>
      <c r="D85" s="1">
        <f>IF(Param!$B$9=1,DbExcel!D85,DbWservice!D85)</f>
        <v>0</v>
      </c>
    </row>
    <row r="86" spans="1:4" x14ac:dyDescent="0.25">
      <c r="A86" s="1">
        <f>IF(Param!$B$9=1,DbExcel!A86,DbWservice!A86)</f>
        <v>0</v>
      </c>
      <c r="B86" s="1">
        <f>IF(Param!$B$9=1,DbExcel!B86,DbWservice!B86)</f>
        <v>0</v>
      </c>
      <c r="C86" s="1">
        <f>IF(Param!$B$9=1,DbExcel!C86,DbWservice!C86)</f>
        <v>0</v>
      </c>
      <c r="D86" s="1">
        <f>IF(Param!$B$9=1,DbExcel!D86,DbWservice!D86)</f>
        <v>0</v>
      </c>
    </row>
    <row r="87" spans="1:4" x14ac:dyDescent="0.25">
      <c r="A87" s="1">
        <f>IF(Param!$B$9=1,DbExcel!A87,DbWservice!A87)</f>
        <v>0</v>
      </c>
      <c r="B87" s="1">
        <f>IF(Param!$B$9=1,DbExcel!B87,DbWservice!B87)</f>
        <v>0</v>
      </c>
      <c r="C87" s="1">
        <f>IF(Param!$B$9=1,DbExcel!C87,DbWservice!C87)</f>
        <v>0</v>
      </c>
      <c r="D87" s="1">
        <f>IF(Param!$B$9=1,DbExcel!D87,DbWservice!D87)</f>
        <v>0</v>
      </c>
    </row>
    <row r="88" spans="1:4" x14ac:dyDescent="0.25">
      <c r="A88" s="1">
        <f>IF(Param!$B$9=1,DbExcel!A88,DbWservice!A88)</f>
        <v>0</v>
      </c>
      <c r="B88" s="1">
        <f>IF(Param!$B$9=1,DbExcel!B88,DbWservice!B88)</f>
        <v>0</v>
      </c>
      <c r="C88" s="1">
        <f>IF(Param!$B$9=1,DbExcel!C88,DbWservice!C88)</f>
        <v>0</v>
      </c>
      <c r="D88" s="1">
        <f>IF(Param!$B$9=1,DbExcel!D88,DbWservice!D88)</f>
        <v>0</v>
      </c>
    </row>
    <row r="89" spans="1:4" x14ac:dyDescent="0.25">
      <c r="A89" s="1">
        <f>IF(Param!$B$9=1,DbExcel!A89,DbWservice!A89)</f>
        <v>0</v>
      </c>
      <c r="B89" s="1">
        <f>IF(Param!$B$9=1,DbExcel!B89,DbWservice!B89)</f>
        <v>0</v>
      </c>
      <c r="C89" s="1">
        <f>IF(Param!$B$9=1,DbExcel!C89,DbWservice!C89)</f>
        <v>0</v>
      </c>
      <c r="D89" s="1">
        <f>IF(Param!$B$9=1,DbExcel!D89,DbWservice!D89)</f>
        <v>0</v>
      </c>
    </row>
    <row r="90" spans="1:4" x14ac:dyDescent="0.25">
      <c r="A90" s="1">
        <f>IF(Param!$B$9=1,DbExcel!A90,DbWservice!A90)</f>
        <v>0</v>
      </c>
      <c r="B90" s="1">
        <f>IF(Param!$B$9=1,DbExcel!B90,DbWservice!B90)</f>
        <v>0</v>
      </c>
      <c r="C90" s="1">
        <f>IF(Param!$B$9=1,DbExcel!C90,DbWservice!C90)</f>
        <v>0</v>
      </c>
      <c r="D90" s="1">
        <f>IF(Param!$B$9=1,DbExcel!D90,DbWservice!D90)</f>
        <v>0</v>
      </c>
    </row>
    <row r="91" spans="1:4" x14ac:dyDescent="0.25">
      <c r="A91" s="1">
        <f>IF(Param!$B$9=1,DbExcel!A91,DbWservice!A91)</f>
        <v>0</v>
      </c>
      <c r="B91" s="1">
        <f>IF(Param!$B$9=1,DbExcel!B91,DbWservice!B91)</f>
        <v>0</v>
      </c>
      <c r="C91" s="1">
        <f>IF(Param!$B$9=1,DbExcel!C91,DbWservice!C91)</f>
        <v>0</v>
      </c>
      <c r="D91" s="1">
        <f>IF(Param!$B$9=1,DbExcel!D91,DbWservice!D91)</f>
        <v>0</v>
      </c>
    </row>
    <row r="92" spans="1:4" x14ac:dyDescent="0.25">
      <c r="A92" s="1">
        <f>IF(Param!$B$9=1,DbExcel!A92,DbWservice!A92)</f>
        <v>0</v>
      </c>
      <c r="B92" s="1">
        <f>IF(Param!$B$9=1,DbExcel!B92,DbWservice!B92)</f>
        <v>0</v>
      </c>
      <c r="C92" s="1">
        <f>IF(Param!$B$9=1,DbExcel!C92,DbWservice!C92)</f>
        <v>0</v>
      </c>
      <c r="D92" s="1">
        <f>IF(Param!$B$9=1,DbExcel!D92,DbWservice!D92)</f>
        <v>0</v>
      </c>
    </row>
    <row r="93" spans="1:4" x14ac:dyDescent="0.25">
      <c r="A93" s="1">
        <f>IF(Param!$B$9=1,DbExcel!A93,DbWservice!A93)</f>
        <v>0</v>
      </c>
      <c r="B93" s="1">
        <f>IF(Param!$B$9=1,DbExcel!B93,DbWservice!B93)</f>
        <v>0</v>
      </c>
      <c r="C93" s="1">
        <f>IF(Param!$B$9=1,DbExcel!C93,DbWservice!C93)</f>
        <v>0</v>
      </c>
      <c r="D93" s="1">
        <f>IF(Param!$B$9=1,DbExcel!D93,DbWservice!D93)</f>
        <v>0</v>
      </c>
    </row>
    <row r="94" spans="1:4" x14ac:dyDescent="0.25">
      <c r="A94" s="1">
        <f>IF(Param!$B$9=1,DbExcel!A94,DbWservice!A94)</f>
        <v>0</v>
      </c>
      <c r="B94" s="1">
        <f>IF(Param!$B$9=1,DbExcel!B94,DbWservice!B94)</f>
        <v>0</v>
      </c>
      <c r="C94" s="1">
        <f>IF(Param!$B$9=1,DbExcel!C94,DbWservice!C94)</f>
        <v>0</v>
      </c>
      <c r="D94" s="1">
        <f>IF(Param!$B$9=1,DbExcel!D94,DbWservice!D94)</f>
        <v>0</v>
      </c>
    </row>
    <row r="95" spans="1:4" x14ac:dyDescent="0.25">
      <c r="A95" s="1">
        <f>IF(Param!$B$9=1,DbExcel!A95,DbWservice!A95)</f>
        <v>0</v>
      </c>
      <c r="B95" s="1">
        <f>IF(Param!$B$9=1,DbExcel!B95,DbWservice!B95)</f>
        <v>0</v>
      </c>
      <c r="C95" s="1">
        <f>IF(Param!$B$9=1,DbExcel!C95,DbWservice!C95)</f>
        <v>0</v>
      </c>
      <c r="D95" s="1">
        <f>IF(Param!$B$9=1,DbExcel!D95,DbWservice!D95)</f>
        <v>0</v>
      </c>
    </row>
    <row r="96" spans="1:4" x14ac:dyDescent="0.25">
      <c r="A96" s="1">
        <f>IF(Param!$B$9=1,DbExcel!A96,DbWservice!A96)</f>
        <v>0</v>
      </c>
      <c r="B96" s="1">
        <f>IF(Param!$B$9=1,DbExcel!B96,DbWservice!B96)</f>
        <v>0</v>
      </c>
      <c r="C96" s="1">
        <f>IF(Param!$B$9=1,DbExcel!C96,DbWservice!C96)</f>
        <v>0</v>
      </c>
      <c r="D96" s="1">
        <f>IF(Param!$B$9=1,DbExcel!D96,DbWservice!D96)</f>
        <v>0</v>
      </c>
    </row>
    <row r="97" spans="1:4" x14ac:dyDescent="0.25">
      <c r="A97" s="1">
        <f>IF(Param!$B$9=1,DbExcel!A97,DbWservice!A97)</f>
        <v>0</v>
      </c>
      <c r="B97" s="1">
        <f>IF(Param!$B$9=1,DbExcel!B97,DbWservice!B97)</f>
        <v>0</v>
      </c>
      <c r="C97" s="1">
        <f>IF(Param!$B$9=1,DbExcel!C97,DbWservice!C97)</f>
        <v>0</v>
      </c>
      <c r="D97" s="1">
        <f>IF(Param!$B$9=1,DbExcel!D97,DbWservice!D97)</f>
        <v>0</v>
      </c>
    </row>
    <row r="98" spans="1:4" x14ac:dyDescent="0.25">
      <c r="A98" s="1">
        <f>IF(Param!$B$9=1,DbExcel!A98,DbWservice!A98)</f>
        <v>0</v>
      </c>
      <c r="B98" s="1">
        <f>IF(Param!$B$9=1,DbExcel!B98,DbWservice!B98)</f>
        <v>0</v>
      </c>
      <c r="C98" s="1">
        <f>IF(Param!$B$9=1,DbExcel!C98,DbWservice!C98)</f>
        <v>0</v>
      </c>
      <c r="D98" s="1">
        <f>IF(Param!$B$9=1,DbExcel!D98,DbWservice!D98)</f>
        <v>0</v>
      </c>
    </row>
    <row r="99" spans="1:4" x14ac:dyDescent="0.25">
      <c r="A99" s="1">
        <f>IF(Param!$B$9=1,DbExcel!A99,DbWservice!A99)</f>
        <v>0</v>
      </c>
      <c r="B99" s="1">
        <f>IF(Param!$B$9=1,DbExcel!B99,DbWservice!B99)</f>
        <v>0</v>
      </c>
      <c r="C99" s="1">
        <f>IF(Param!$B$9=1,DbExcel!C99,DbWservice!C99)</f>
        <v>0</v>
      </c>
      <c r="D99" s="1">
        <f>IF(Param!$B$9=1,DbExcel!D99,DbWservice!D99)</f>
        <v>0</v>
      </c>
    </row>
    <row r="100" spans="1:4" x14ac:dyDescent="0.25">
      <c r="A100" s="1">
        <f>IF(Param!$B$9=1,DbExcel!A100,DbWservice!A100)</f>
        <v>0</v>
      </c>
      <c r="B100" s="1">
        <f>IF(Param!$B$9=1,DbExcel!B100,DbWservice!B100)</f>
        <v>0</v>
      </c>
      <c r="C100" s="1">
        <f>IF(Param!$B$9=1,DbExcel!C100,DbWservice!C100)</f>
        <v>0</v>
      </c>
      <c r="D100" s="1">
        <f>IF(Param!$B$9=1,DbExcel!D100,DbWservice!D100)</f>
        <v>0</v>
      </c>
    </row>
    <row r="101" spans="1:4" x14ac:dyDescent="0.25">
      <c r="A101" s="1">
        <f>IF(Param!$B$9=1,DbExcel!A101,DbWservice!A101)</f>
        <v>0</v>
      </c>
      <c r="B101" s="1">
        <f>IF(Param!$B$9=1,DbExcel!B101,DbWservice!B101)</f>
        <v>0</v>
      </c>
      <c r="C101" s="1">
        <f>IF(Param!$B$9=1,DbExcel!C101,DbWservice!C101)</f>
        <v>0</v>
      </c>
      <c r="D101" s="1">
        <f>IF(Param!$B$9=1,DbExcel!D101,DbWservice!D101)</f>
        <v>0</v>
      </c>
    </row>
    <row r="102" spans="1:4" x14ac:dyDescent="0.25">
      <c r="A102" s="1">
        <f>IF(Param!$B$9=1,DbExcel!A102,DbWservice!A102)</f>
        <v>0</v>
      </c>
      <c r="B102" s="1">
        <f>IF(Param!$B$9=1,DbExcel!B102,DbWservice!B102)</f>
        <v>0</v>
      </c>
      <c r="C102" s="1">
        <f>IF(Param!$B$9=1,DbExcel!C102,DbWservice!C102)</f>
        <v>0</v>
      </c>
      <c r="D102" s="1">
        <f>IF(Param!$B$9=1,DbExcel!D102,DbWservice!D102)</f>
        <v>0</v>
      </c>
    </row>
    <row r="103" spans="1:4" x14ac:dyDescent="0.25">
      <c r="A103" s="1">
        <f>IF(Param!$B$9=1,DbExcel!A103,DbWservice!A103)</f>
        <v>0</v>
      </c>
      <c r="B103" s="1">
        <f>IF(Param!$B$9=1,DbExcel!B103,DbWservice!B103)</f>
        <v>0</v>
      </c>
      <c r="C103" s="1">
        <f>IF(Param!$B$9=1,DbExcel!C103,DbWservice!C103)</f>
        <v>0</v>
      </c>
      <c r="D103" s="1">
        <f>IF(Param!$B$9=1,DbExcel!D103,DbWservice!D103)</f>
        <v>0</v>
      </c>
    </row>
    <row r="104" spans="1:4" x14ac:dyDescent="0.25">
      <c r="A104" s="1">
        <f>IF(Param!$B$9=1,DbExcel!A104,DbWservice!A104)</f>
        <v>0</v>
      </c>
      <c r="B104" s="1">
        <f>IF(Param!$B$9=1,DbExcel!B104,DbWservice!B104)</f>
        <v>0</v>
      </c>
      <c r="C104" s="1">
        <f>IF(Param!$B$9=1,DbExcel!C104,DbWservice!C104)</f>
        <v>0</v>
      </c>
      <c r="D104" s="1">
        <f>IF(Param!$B$9=1,DbExcel!D104,DbWservice!D104)</f>
        <v>0</v>
      </c>
    </row>
    <row r="105" spans="1:4" x14ac:dyDescent="0.25">
      <c r="A105" s="1">
        <f>IF(Param!$B$9=1,DbExcel!A105,DbWservice!A105)</f>
        <v>0</v>
      </c>
      <c r="B105" s="1">
        <f>IF(Param!$B$9=1,DbExcel!B105,DbWservice!B105)</f>
        <v>0</v>
      </c>
      <c r="C105" s="1">
        <f>IF(Param!$B$9=1,DbExcel!C105,DbWservice!C105)</f>
        <v>0</v>
      </c>
      <c r="D105" s="1">
        <f>IF(Param!$B$9=1,DbExcel!D105,DbWservice!D105)</f>
        <v>0</v>
      </c>
    </row>
    <row r="106" spans="1:4" x14ac:dyDescent="0.25">
      <c r="A106" s="1">
        <f>IF(Param!$B$9=1,DbExcel!A106,DbWservice!A106)</f>
        <v>0</v>
      </c>
      <c r="B106" s="1">
        <f>IF(Param!$B$9=1,DbExcel!B106,DbWservice!B106)</f>
        <v>0</v>
      </c>
      <c r="C106" s="1">
        <f>IF(Param!$B$9=1,DbExcel!C106,DbWservice!C106)</f>
        <v>0</v>
      </c>
      <c r="D106" s="1">
        <f>IF(Param!$B$9=1,DbExcel!D106,DbWservice!D106)</f>
        <v>0</v>
      </c>
    </row>
    <row r="107" spans="1:4" x14ac:dyDescent="0.25">
      <c r="A107" s="1">
        <f>IF(Param!$B$9=1,DbExcel!A107,DbWservice!A107)</f>
        <v>0</v>
      </c>
      <c r="B107" s="1">
        <f>IF(Param!$B$9=1,DbExcel!B107,DbWservice!B107)</f>
        <v>0</v>
      </c>
      <c r="C107" s="1">
        <f>IF(Param!$B$9=1,DbExcel!C107,DbWservice!C107)</f>
        <v>0</v>
      </c>
      <c r="D107" s="1">
        <f>IF(Param!$B$9=1,DbExcel!D107,DbWservice!D107)</f>
        <v>0</v>
      </c>
    </row>
    <row r="108" spans="1:4" x14ac:dyDescent="0.25">
      <c r="A108" s="1">
        <f>IF(Param!$B$9=1,DbExcel!A108,DbWservice!A108)</f>
        <v>0</v>
      </c>
      <c r="B108" s="1">
        <f>IF(Param!$B$9=1,DbExcel!B108,DbWservice!B108)</f>
        <v>0</v>
      </c>
      <c r="C108" s="1">
        <f>IF(Param!$B$9=1,DbExcel!C108,DbWservice!C108)</f>
        <v>0</v>
      </c>
      <c r="D108" s="1">
        <f>IF(Param!$B$9=1,DbExcel!D108,DbWservice!D108)</f>
        <v>0</v>
      </c>
    </row>
    <row r="109" spans="1:4" x14ac:dyDescent="0.25">
      <c r="A109" s="1">
        <f>IF(Param!$B$9=1,DbExcel!A109,DbWservice!A109)</f>
        <v>0</v>
      </c>
      <c r="B109" s="1">
        <f>IF(Param!$B$9=1,DbExcel!B109,DbWservice!B109)</f>
        <v>0</v>
      </c>
      <c r="C109" s="1">
        <f>IF(Param!$B$9=1,DbExcel!C109,DbWservice!C109)</f>
        <v>0</v>
      </c>
      <c r="D109" s="1">
        <f>IF(Param!$B$9=1,DbExcel!D109,DbWservice!D109)</f>
        <v>0</v>
      </c>
    </row>
    <row r="110" spans="1:4" x14ac:dyDescent="0.25">
      <c r="A110" s="1">
        <f>IF(Param!$B$9=1,DbExcel!A110,DbWservice!A110)</f>
        <v>0</v>
      </c>
      <c r="B110" s="1">
        <f>IF(Param!$B$9=1,DbExcel!B110,DbWservice!B110)</f>
        <v>0</v>
      </c>
      <c r="C110" s="1">
        <f>IF(Param!$B$9=1,DbExcel!C110,DbWservice!C110)</f>
        <v>0</v>
      </c>
      <c r="D110" s="1">
        <f>IF(Param!$B$9=1,DbExcel!D110,DbWservice!D110)</f>
        <v>0</v>
      </c>
    </row>
    <row r="111" spans="1:4" x14ac:dyDescent="0.25">
      <c r="A111" s="1">
        <f>IF(Param!$B$9=1,DbExcel!A111,DbWservice!A111)</f>
        <v>0</v>
      </c>
      <c r="B111" s="1">
        <f>IF(Param!$B$9=1,DbExcel!B111,DbWservice!B111)</f>
        <v>0</v>
      </c>
      <c r="C111" s="1">
        <f>IF(Param!$B$9=1,DbExcel!C111,DbWservice!C111)</f>
        <v>0</v>
      </c>
      <c r="D111" s="1">
        <f>IF(Param!$B$9=1,DbExcel!D111,DbWservice!D111)</f>
        <v>0</v>
      </c>
    </row>
    <row r="112" spans="1:4" x14ac:dyDescent="0.25">
      <c r="A112" s="1">
        <f>IF(Param!$B$9=1,DbExcel!A112,DbWservice!A112)</f>
        <v>0</v>
      </c>
      <c r="B112" s="1">
        <f>IF(Param!$B$9=1,DbExcel!B112,DbWservice!B112)</f>
        <v>0</v>
      </c>
      <c r="C112" s="1">
        <f>IF(Param!$B$9=1,DbExcel!C112,DbWservice!C112)</f>
        <v>0</v>
      </c>
      <c r="D112" s="1">
        <f>IF(Param!$B$9=1,DbExcel!D112,DbWservice!D112)</f>
        <v>0</v>
      </c>
    </row>
    <row r="113" spans="1:4" x14ac:dyDescent="0.25">
      <c r="A113" s="1">
        <f>IF(Param!$B$9=1,DbExcel!A113,DbWservice!A113)</f>
        <v>0</v>
      </c>
      <c r="B113" s="1">
        <f>IF(Param!$B$9=1,DbExcel!B113,DbWservice!B113)</f>
        <v>0</v>
      </c>
      <c r="C113" s="1">
        <f>IF(Param!$B$9=1,DbExcel!C113,DbWservice!C113)</f>
        <v>0</v>
      </c>
      <c r="D113" s="1">
        <f>IF(Param!$B$9=1,DbExcel!D113,DbWservice!D113)</f>
        <v>0</v>
      </c>
    </row>
    <row r="114" spans="1:4" x14ac:dyDescent="0.25">
      <c r="A114" s="1">
        <f>IF(Param!$B$9=1,DbExcel!A114,DbWservice!A114)</f>
        <v>0</v>
      </c>
      <c r="B114" s="1">
        <f>IF(Param!$B$9=1,DbExcel!B114,DbWservice!B114)</f>
        <v>0</v>
      </c>
      <c r="C114" s="1">
        <f>IF(Param!$B$9=1,DbExcel!C114,DbWservice!C114)</f>
        <v>0</v>
      </c>
      <c r="D114" s="1">
        <f>IF(Param!$B$9=1,DbExcel!D114,DbWservice!D114)</f>
        <v>0</v>
      </c>
    </row>
    <row r="115" spans="1:4" x14ac:dyDescent="0.25">
      <c r="A115" s="1">
        <f>IF(Param!$B$9=1,DbExcel!A115,DbWservice!A115)</f>
        <v>0</v>
      </c>
      <c r="B115" s="1">
        <f>IF(Param!$B$9=1,DbExcel!B115,DbWservice!B115)</f>
        <v>0</v>
      </c>
      <c r="C115" s="1">
        <f>IF(Param!$B$9=1,DbExcel!C115,DbWservice!C115)</f>
        <v>0</v>
      </c>
      <c r="D115" s="1">
        <f>IF(Param!$B$9=1,DbExcel!D115,DbWservice!D115)</f>
        <v>0</v>
      </c>
    </row>
    <row r="116" spans="1:4" x14ac:dyDescent="0.25">
      <c r="A116" s="1">
        <f>IF(Param!$B$9=1,DbExcel!A116,DbWservice!A116)</f>
        <v>0</v>
      </c>
      <c r="B116" s="1">
        <f>IF(Param!$B$9=1,DbExcel!B116,DbWservice!B116)</f>
        <v>0</v>
      </c>
      <c r="C116" s="1">
        <f>IF(Param!$B$9=1,DbExcel!C116,DbWservice!C116)</f>
        <v>0</v>
      </c>
      <c r="D116" s="1">
        <f>IF(Param!$B$9=1,DbExcel!D116,DbWservice!D116)</f>
        <v>0</v>
      </c>
    </row>
    <row r="117" spans="1:4" x14ac:dyDescent="0.25">
      <c r="A117" s="1">
        <f>IF(Param!$B$9=1,DbExcel!A117,DbWservice!A117)</f>
        <v>0</v>
      </c>
      <c r="B117" s="1">
        <f>IF(Param!$B$9=1,DbExcel!B117,DbWservice!B117)</f>
        <v>0</v>
      </c>
      <c r="C117" s="1">
        <f>IF(Param!$B$9=1,DbExcel!C117,DbWservice!C117)</f>
        <v>0</v>
      </c>
      <c r="D117" s="1">
        <f>IF(Param!$B$9=1,DbExcel!D117,DbWservice!D117)</f>
        <v>0</v>
      </c>
    </row>
    <row r="118" spans="1:4" x14ac:dyDescent="0.25">
      <c r="A118" s="1">
        <f>IF(Param!$B$9=1,DbExcel!A118,DbWservice!A118)</f>
        <v>0</v>
      </c>
      <c r="B118" s="1">
        <f>IF(Param!$B$9=1,DbExcel!B118,DbWservice!B118)</f>
        <v>0</v>
      </c>
      <c r="C118" s="1">
        <f>IF(Param!$B$9=1,DbExcel!C118,DbWservice!C118)</f>
        <v>0</v>
      </c>
      <c r="D118" s="1">
        <f>IF(Param!$B$9=1,DbExcel!D118,DbWservice!D118)</f>
        <v>0</v>
      </c>
    </row>
    <row r="119" spans="1:4" x14ac:dyDescent="0.25">
      <c r="A119" s="1">
        <f>IF(Param!$B$9=1,DbExcel!A119,DbWservice!A119)</f>
        <v>0</v>
      </c>
      <c r="B119" s="1">
        <f>IF(Param!$B$9=1,DbExcel!B119,DbWservice!B119)</f>
        <v>0</v>
      </c>
      <c r="C119" s="1">
        <f>IF(Param!$B$9=1,DbExcel!C119,DbWservice!C119)</f>
        <v>0</v>
      </c>
      <c r="D119" s="1">
        <f>IF(Param!$B$9=1,DbExcel!D119,DbWservice!D119)</f>
        <v>0</v>
      </c>
    </row>
    <row r="120" spans="1:4" x14ac:dyDescent="0.25">
      <c r="A120" s="1">
        <f>IF(Param!$B$9=1,DbExcel!A120,DbWservice!A120)</f>
        <v>0</v>
      </c>
      <c r="B120" s="1">
        <f>IF(Param!$B$9=1,DbExcel!B120,DbWservice!B120)</f>
        <v>0</v>
      </c>
      <c r="C120" s="1">
        <f>IF(Param!$B$9=1,DbExcel!C120,DbWservice!C120)</f>
        <v>0</v>
      </c>
      <c r="D120" s="1">
        <f>IF(Param!$B$9=1,DbExcel!D120,DbWservice!D120)</f>
        <v>0</v>
      </c>
    </row>
    <row r="121" spans="1:4" x14ac:dyDescent="0.25">
      <c r="A121" s="1">
        <f>IF(Param!$B$9=1,DbExcel!A121,DbWservice!A121)</f>
        <v>0</v>
      </c>
      <c r="B121" s="1">
        <f>IF(Param!$B$9=1,DbExcel!B121,DbWservice!B121)</f>
        <v>0</v>
      </c>
      <c r="C121" s="1">
        <f>IF(Param!$B$9=1,DbExcel!C121,DbWservice!C121)</f>
        <v>0</v>
      </c>
      <c r="D121" s="1">
        <f>IF(Param!$B$9=1,DbExcel!D121,DbWservice!D121)</f>
        <v>0</v>
      </c>
    </row>
    <row r="122" spans="1:4" x14ac:dyDescent="0.25">
      <c r="A122" s="1">
        <f>IF(Param!$B$9=1,DbExcel!A122,DbWservice!A122)</f>
        <v>0</v>
      </c>
      <c r="B122" s="1">
        <f>IF(Param!$B$9=1,DbExcel!B122,DbWservice!B122)</f>
        <v>0</v>
      </c>
      <c r="C122" s="1">
        <f>IF(Param!$B$9=1,DbExcel!C122,DbWservice!C122)</f>
        <v>0</v>
      </c>
      <c r="D122" s="1">
        <f>IF(Param!$B$9=1,DbExcel!D122,DbWservice!D122)</f>
        <v>0</v>
      </c>
    </row>
    <row r="123" spans="1:4" x14ac:dyDescent="0.25">
      <c r="A123" s="1">
        <f>IF(Param!$B$9=1,DbExcel!A123,DbWservice!A123)</f>
        <v>0</v>
      </c>
      <c r="B123" s="1">
        <f>IF(Param!$B$9=1,DbExcel!B123,DbWservice!B123)</f>
        <v>0</v>
      </c>
      <c r="C123" s="1">
        <f>IF(Param!$B$9=1,DbExcel!C123,DbWservice!C123)</f>
        <v>0</v>
      </c>
      <c r="D123" s="1">
        <f>IF(Param!$B$9=1,DbExcel!D123,DbWservice!D123)</f>
        <v>0</v>
      </c>
    </row>
    <row r="124" spans="1:4" x14ac:dyDescent="0.25">
      <c r="A124" s="1">
        <f>IF(Param!$B$9=1,DbExcel!A124,DbWservice!A124)</f>
        <v>0</v>
      </c>
      <c r="B124" s="1">
        <f>IF(Param!$B$9=1,DbExcel!B124,DbWservice!B124)</f>
        <v>0</v>
      </c>
      <c r="C124" s="1">
        <f>IF(Param!$B$9=1,DbExcel!C124,DbWservice!C124)</f>
        <v>0</v>
      </c>
      <c r="D124" s="1">
        <f>IF(Param!$B$9=1,DbExcel!D124,DbWservice!D124)</f>
        <v>0</v>
      </c>
    </row>
    <row r="125" spans="1:4" x14ac:dyDescent="0.25">
      <c r="A125" s="1">
        <f>IF(Param!$B$9=1,DbExcel!A125,DbWservice!A125)</f>
        <v>0</v>
      </c>
      <c r="B125" s="1">
        <f>IF(Param!$B$9=1,DbExcel!B125,DbWservice!B125)</f>
        <v>0</v>
      </c>
      <c r="C125" s="1">
        <f>IF(Param!$B$9=1,DbExcel!C125,DbWservice!C125)</f>
        <v>0</v>
      </c>
      <c r="D125" s="1">
        <f>IF(Param!$B$9=1,DbExcel!D125,DbWservice!D125)</f>
        <v>0</v>
      </c>
    </row>
    <row r="126" spans="1:4" x14ac:dyDescent="0.25">
      <c r="A126" s="1">
        <f>IF(Param!$B$9=1,DbExcel!A126,DbWservice!A126)</f>
        <v>0</v>
      </c>
      <c r="B126" s="1">
        <f>IF(Param!$B$9=1,DbExcel!B126,DbWservice!B126)</f>
        <v>0</v>
      </c>
      <c r="C126" s="1">
        <f>IF(Param!$B$9=1,DbExcel!C126,DbWservice!C126)</f>
        <v>0</v>
      </c>
      <c r="D126" s="1">
        <f>IF(Param!$B$9=1,DbExcel!D126,DbWservice!D126)</f>
        <v>0</v>
      </c>
    </row>
    <row r="127" spans="1:4" x14ac:dyDescent="0.25">
      <c r="A127" s="1">
        <f>IF(Param!$B$9=1,DbExcel!A127,DbWservice!A127)</f>
        <v>0</v>
      </c>
      <c r="B127" s="1">
        <f>IF(Param!$B$9=1,DbExcel!B127,DbWservice!B127)</f>
        <v>0</v>
      </c>
      <c r="C127" s="1">
        <f>IF(Param!$B$9=1,DbExcel!C127,DbWservice!C127)</f>
        <v>0</v>
      </c>
      <c r="D127" s="1">
        <f>IF(Param!$B$9=1,DbExcel!D127,DbWservice!D127)</f>
        <v>0</v>
      </c>
    </row>
    <row r="128" spans="1:4" x14ac:dyDescent="0.25">
      <c r="A128" s="1">
        <f>IF(Param!$B$9=1,DbExcel!A128,DbWservice!A128)</f>
        <v>0</v>
      </c>
      <c r="B128" s="1">
        <f>IF(Param!$B$9=1,DbExcel!B128,DbWservice!B128)</f>
        <v>0</v>
      </c>
      <c r="C128" s="1">
        <f>IF(Param!$B$9=1,DbExcel!C128,DbWservice!C128)</f>
        <v>0</v>
      </c>
      <c r="D128" s="1">
        <f>IF(Param!$B$9=1,DbExcel!D128,DbWservice!D128)</f>
        <v>0</v>
      </c>
    </row>
    <row r="129" spans="1:4" x14ac:dyDescent="0.25">
      <c r="A129" s="1">
        <f>IF(Param!$B$9=1,DbExcel!A129,DbWservice!A129)</f>
        <v>0</v>
      </c>
      <c r="B129" s="1">
        <f>IF(Param!$B$9=1,DbExcel!B129,DbWservice!B129)</f>
        <v>0</v>
      </c>
      <c r="C129" s="1">
        <f>IF(Param!$B$9=1,DbExcel!C129,DbWservice!C129)</f>
        <v>0</v>
      </c>
      <c r="D129" s="1">
        <f>IF(Param!$B$9=1,DbExcel!D129,DbWservice!D129)</f>
        <v>0</v>
      </c>
    </row>
    <row r="130" spans="1:4" x14ac:dyDescent="0.25">
      <c r="A130" s="1">
        <f>IF(Param!$B$9=1,DbExcel!A130,DbWservice!A130)</f>
        <v>0</v>
      </c>
      <c r="B130" s="1">
        <f>IF(Param!$B$9=1,DbExcel!B130,DbWservice!B130)</f>
        <v>0</v>
      </c>
      <c r="C130" s="1">
        <f>IF(Param!$B$9=1,DbExcel!C130,DbWservice!C130)</f>
        <v>0</v>
      </c>
      <c r="D130" s="1">
        <f>IF(Param!$B$9=1,DbExcel!D130,DbWservice!D130)</f>
        <v>0</v>
      </c>
    </row>
    <row r="131" spans="1:4" x14ac:dyDescent="0.25">
      <c r="A131" s="1">
        <f>IF(Param!$B$9=1,DbExcel!A131,DbWservice!A131)</f>
        <v>0</v>
      </c>
      <c r="B131" s="1">
        <f>IF(Param!$B$9=1,DbExcel!B131,DbWservice!B131)</f>
        <v>0</v>
      </c>
      <c r="C131" s="1">
        <f>IF(Param!$B$9=1,DbExcel!C131,DbWservice!C131)</f>
        <v>0</v>
      </c>
      <c r="D131" s="1">
        <f>IF(Param!$B$9=1,DbExcel!D131,DbWservice!D131)</f>
        <v>0</v>
      </c>
    </row>
    <row r="132" spans="1:4" x14ac:dyDescent="0.25">
      <c r="A132" s="1">
        <f>IF(Param!$B$9=1,DbExcel!A132,DbWservice!A132)</f>
        <v>0</v>
      </c>
      <c r="B132" s="1">
        <f>IF(Param!$B$9=1,DbExcel!B132,DbWservice!B132)</f>
        <v>0</v>
      </c>
      <c r="C132" s="1">
        <f>IF(Param!$B$9=1,DbExcel!C132,DbWservice!C132)</f>
        <v>0</v>
      </c>
      <c r="D132" s="1">
        <f>IF(Param!$B$9=1,DbExcel!D132,DbWservice!D132)</f>
        <v>0</v>
      </c>
    </row>
    <row r="133" spans="1:4" x14ac:dyDescent="0.25">
      <c r="A133" s="1">
        <f>IF(Param!$B$9=1,DbExcel!A133,DbWservice!A133)</f>
        <v>0</v>
      </c>
      <c r="B133" s="1">
        <f>IF(Param!$B$9=1,DbExcel!B133,DbWservice!B133)</f>
        <v>0</v>
      </c>
      <c r="C133" s="1">
        <f>IF(Param!$B$9=1,DbExcel!C133,DbWservice!C133)</f>
        <v>0</v>
      </c>
      <c r="D133" s="1">
        <f>IF(Param!$B$9=1,DbExcel!D133,DbWservice!D133)</f>
        <v>0</v>
      </c>
    </row>
    <row r="134" spans="1:4" x14ac:dyDescent="0.25">
      <c r="A134" s="1">
        <f>IF(Param!$B$9=1,DbExcel!A134,DbWservice!A134)</f>
        <v>0</v>
      </c>
      <c r="B134" s="1">
        <f>IF(Param!$B$9=1,DbExcel!B134,DbWservice!B134)</f>
        <v>0</v>
      </c>
      <c r="C134" s="1">
        <f>IF(Param!$B$9=1,DbExcel!C134,DbWservice!C134)</f>
        <v>0</v>
      </c>
      <c r="D134" s="1">
        <f>IF(Param!$B$9=1,DbExcel!D134,DbWservice!D134)</f>
        <v>0</v>
      </c>
    </row>
    <row r="135" spans="1:4" x14ac:dyDescent="0.25">
      <c r="A135" s="1">
        <f>IF(Param!$B$9=1,DbExcel!A135,DbWservice!A135)</f>
        <v>0</v>
      </c>
      <c r="B135" s="1">
        <f>IF(Param!$B$9=1,DbExcel!B135,DbWservice!B135)</f>
        <v>0</v>
      </c>
      <c r="C135" s="1">
        <f>IF(Param!$B$9=1,DbExcel!C135,DbWservice!C135)</f>
        <v>0</v>
      </c>
      <c r="D135" s="1">
        <f>IF(Param!$B$9=1,DbExcel!D135,DbWservice!D135)</f>
        <v>0</v>
      </c>
    </row>
    <row r="136" spans="1:4" x14ac:dyDescent="0.25">
      <c r="A136" s="1">
        <f>IF(Param!$B$9=1,DbExcel!A136,DbWservice!A136)</f>
        <v>0</v>
      </c>
      <c r="B136" s="1">
        <f>IF(Param!$B$9=1,DbExcel!B136,DbWservice!B136)</f>
        <v>0</v>
      </c>
      <c r="C136" s="1">
        <f>IF(Param!$B$9=1,DbExcel!C136,DbWservice!C136)</f>
        <v>0</v>
      </c>
      <c r="D136" s="1">
        <f>IF(Param!$B$9=1,DbExcel!D136,DbWservice!D136)</f>
        <v>0</v>
      </c>
    </row>
    <row r="137" spans="1:4" x14ac:dyDescent="0.25">
      <c r="A137" s="1">
        <f>IF(Param!$B$9=1,DbExcel!A137,DbWservice!A137)</f>
        <v>0</v>
      </c>
      <c r="B137" s="1">
        <f>IF(Param!$B$9=1,DbExcel!B137,DbWservice!B137)</f>
        <v>0</v>
      </c>
      <c r="C137" s="1">
        <f>IF(Param!$B$9=1,DbExcel!C137,DbWservice!C137)</f>
        <v>0</v>
      </c>
      <c r="D137" s="1">
        <f>IF(Param!$B$9=1,DbExcel!D137,DbWservice!D137)</f>
        <v>0</v>
      </c>
    </row>
    <row r="138" spans="1:4" x14ac:dyDescent="0.25">
      <c r="A138" s="1">
        <f>IF(Param!$B$9=1,DbExcel!A138,DbWservice!A138)</f>
        <v>0</v>
      </c>
      <c r="B138" s="1">
        <f>IF(Param!$B$9=1,DbExcel!B138,DbWservice!B138)</f>
        <v>0</v>
      </c>
      <c r="C138" s="1">
        <f>IF(Param!$B$9=1,DbExcel!C138,DbWservice!C138)</f>
        <v>0</v>
      </c>
      <c r="D138" s="1">
        <f>IF(Param!$B$9=1,DbExcel!D138,DbWservice!D138)</f>
        <v>0</v>
      </c>
    </row>
    <row r="139" spans="1:4" x14ac:dyDescent="0.25">
      <c r="A139" s="1">
        <f>IF(Param!$B$9=1,DbExcel!A139,DbWservice!A139)</f>
        <v>0</v>
      </c>
      <c r="B139" s="1">
        <f>IF(Param!$B$9=1,DbExcel!B139,DbWservice!B139)</f>
        <v>0</v>
      </c>
      <c r="C139" s="1">
        <f>IF(Param!$B$9=1,DbExcel!C139,DbWservice!C139)</f>
        <v>0</v>
      </c>
      <c r="D139" s="1">
        <f>IF(Param!$B$9=1,DbExcel!D139,DbWservice!D139)</f>
        <v>0</v>
      </c>
    </row>
    <row r="140" spans="1:4" x14ac:dyDescent="0.25">
      <c r="A140" s="1">
        <f>IF(Param!$B$9=1,DbExcel!A140,DbWservice!A140)</f>
        <v>0</v>
      </c>
      <c r="B140" s="1">
        <f>IF(Param!$B$9=1,DbExcel!B140,DbWservice!B140)</f>
        <v>0</v>
      </c>
      <c r="C140" s="1">
        <f>IF(Param!$B$9=1,DbExcel!C140,DbWservice!C140)</f>
        <v>0</v>
      </c>
      <c r="D140" s="1">
        <f>IF(Param!$B$9=1,DbExcel!D140,DbWservice!D140)</f>
        <v>0</v>
      </c>
    </row>
    <row r="141" spans="1:4" x14ac:dyDescent="0.25">
      <c r="A141" s="1">
        <f>IF(Param!$B$9=1,DbExcel!A141,DbWservice!A141)</f>
        <v>0</v>
      </c>
      <c r="B141" s="1">
        <f>IF(Param!$B$9=1,DbExcel!B141,DbWservice!B141)</f>
        <v>0</v>
      </c>
      <c r="C141" s="1">
        <f>IF(Param!$B$9=1,DbExcel!C141,DbWservice!C141)</f>
        <v>0</v>
      </c>
      <c r="D141" s="1">
        <f>IF(Param!$B$9=1,DbExcel!D141,DbWservice!D141)</f>
        <v>0</v>
      </c>
    </row>
    <row r="142" spans="1:4" x14ac:dyDescent="0.25">
      <c r="A142" s="1">
        <f>IF(Param!$B$9=1,DbExcel!A142,DbWservice!A142)</f>
        <v>0</v>
      </c>
      <c r="B142" s="1">
        <f>IF(Param!$B$9=1,DbExcel!B142,DbWservice!B142)</f>
        <v>0</v>
      </c>
      <c r="C142" s="1">
        <f>IF(Param!$B$9=1,DbExcel!C142,DbWservice!C142)</f>
        <v>0</v>
      </c>
      <c r="D142" s="1">
        <f>IF(Param!$B$9=1,DbExcel!D142,DbWservice!D142)</f>
        <v>0</v>
      </c>
    </row>
    <row r="143" spans="1:4" x14ac:dyDescent="0.25">
      <c r="A143" s="1">
        <f>IF(Param!$B$9=1,DbExcel!A143,DbWservice!A143)</f>
        <v>0</v>
      </c>
      <c r="B143" s="1">
        <f>IF(Param!$B$9=1,DbExcel!B143,DbWservice!B143)</f>
        <v>0</v>
      </c>
      <c r="C143" s="1">
        <f>IF(Param!$B$9=1,DbExcel!C143,DbWservice!C143)</f>
        <v>0</v>
      </c>
      <c r="D143" s="1">
        <f>IF(Param!$B$9=1,DbExcel!D143,DbWservice!D143)</f>
        <v>0</v>
      </c>
    </row>
    <row r="144" spans="1:4" x14ac:dyDescent="0.25">
      <c r="A144" s="1">
        <f>IF(Param!$B$9=1,DbExcel!A144,DbWservice!A144)</f>
        <v>0</v>
      </c>
      <c r="B144" s="1">
        <f>IF(Param!$B$9=1,DbExcel!B144,DbWservice!B144)</f>
        <v>0</v>
      </c>
      <c r="C144" s="1">
        <f>IF(Param!$B$9=1,DbExcel!C144,DbWservice!C144)</f>
        <v>0</v>
      </c>
      <c r="D144" s="1">
        <f>IF(Param!$B$9=1,DbExcel!D144,DbWservice!D144)</f>
        <v>0</v>
      </c>
    </row>
    <row r="145" spans="1:4" x14ac:dyDescent="0.25">
      <c r="A145" s="1">
        <f>IF(Param!$B$9=1,DbExcel!A145,DbWservice!A145)</f>
        <v>0</v>
      </c>
      <c r="B145" s="1">
        <f>IF(Param!$B$9=1,DbExcel!B145,DbWservice!B145)</f>
        <v>0</v>
      </c>
      <c r="C145" s="1">
        <f>IF(Param!$B$9=1,DbExcel!C145,DbWservice!C145)</f>
        <v>0</v>
      </c>
      <c r="D145" s="1">
        <f>IF(Param!$B$9=1,DbExcel!D145,DbWservice!D145)</f>
        <v>0</v>
      </c>
    </row>
    <row r="146" spans="1:4" x14ac:dyDescent="0.25">
      <c r="A146" s="1">
        <f>IF(Param!$B$9=1,DbExcel!A146,DbWservice!A146)</f>
        <v>0</v>
      </c>
      <c r="B146" s="1">
        <f>IF(Param!$B$9=1,DbExcel!B146,DbWservice!B146)</f>
        <v>0</v>
      </c>
      <c r="C146" s="1">
        <f>IF(Param!$B$9=1,DbExcel!C146,DbWservice!C146)</f>
        <v>0</v>
      </c>
      <c r="D146" s="1">
        <f>IF(Param!$B$9=1,DbExcel!D146,DbWservice!D146)</f>
        <v>0</v>
      </c>
    </row>
    <row r="147" spans="1:4" x14ac:dyDescent="0.25">
      <c r="A147" s="1">
        <f>IF(Param!$B$9=1,DbExcel!A147,DbWservice!A147)</f>
        <v>0</v>
      </c>
      <c r="B147" s="1">
        <f>IF(Param!$B$9=1,DbExcel!B147,DbWservice!B147)</f>
        <v>0</v>
      </c>
      <c r="C147" s="1">
        <f>IF(Param!$B$9=1,DbExcel!C147,DbWservice!C147)</f>
        <v>0</v>
      </c>
      <c r="D147" s="1">
        <f>IF(Param!$B$9=1,DbExcel!D147,DbWservice!D147)</f>
        <v>0</v>
      </c>
    </row>
    <row r="148" spans="1:4" x14ac:dyDescent="0.25">
      <c r="A148" s="1">
        <f>IF(Param!$B$9=1,DbExcel!A148,DbWservice!A148)</f>
        <v>0</v>
      </c>
      <c r="B148" s="1">
        <f>IF(Param!$B$9=1,DbExcel!B148,DbWservice!B148)</f>
        <v>0</v>
      </c>
      <c r="C148" s="1">
        <f>IF(Param!$B$9=1,DbExcel!C148,DbWservice!C148)</f>
        <v>0</v>
      </c>
      <c r="D148" s="1">
        <f>IF(Param!$B$9=1,DbExcel!D148,DbWservice!D148)</f>
        <v>0</v>
      </c>
    </row>
    <row r="149" spans="1:4" x14ac:dyDescent="0.25">
      <c r="A149" s="1">
        <f>IF(Param!$B$9=1,DbExcel!A149,DbWservice!A149)</f>
        <v>0</v>
      </c>
      <c r="B149" s="1">
        <f>IF(Param!$B$9=1,DbExcel!B149,DbWservice!B149)</f>
        <v>0</v>
      </c>
      <c r="C149" s="1">
        <f>IF(Param!$B$9=1,DbExcel!C149,DbWservice!C149)</f>
        <v>0</v>
      </c>
      <c r="D149" s="1">
        <f>IF(Param!$B$9=1,DbExcel!D149,DbWservice!D149)</f>
        <v>0</v>
      </c>
    </row>
    <row r="150" spans="1:4" x14ac:dyDescent="0.25">
      <c r="A150" s="1">
        <f>IF(Param!$B$9=1,DbExcel!A150,DbWservice!A150)</f>
        <v>0</v>
      </c>
      <c r="B150" s="1">
        <f>IF(Param!$B$9=1,DbExcel!B150,DbWservice!B150)</f>
        <v>0</v>
      </c>
      <c r="C150" s="1">
        <f>IF(Param!$B$9=1,DbExcel!C150,DbWservice!C150)</f>
        <v>0</v>
      </c>
      <c r="D150" s="1">
        <f>IF(Param!$B$9=1,DbExcel!D150,DbWservice!D150)</f>
        <v>0</v>
      </c>
    </row>
    <row r="151" spans="1:4" x14ac:dyDescent="0.25">
      <c r="A151" s="1">
        <f>IF(Param!$B$9=1,DbExcel!A151,DbWservice!A151)</f>
        <v>0</v>
      </c>
      <c r="B151" s="1">
        <f>IF(Param!$B$9=1,DbExcel!B151,DbWservice!B151)</f>
        <v>0</v>
      </c>
      <c r="C151" s="1">
        <f>IF(Param!$B$9=1,DbExcel!C151,DbWservice!C151)</f>
        <v>0</v>
      </c>
      <c r="D151" s="1">
        <f>IF(Param!$B$9=1,DbExcel!D151,DbWservice!D151)</f>
        <v>0</v>
      </c>
    </row>
    <row r="152" spans="1:4" x14ac:dyDescent="0.25">
      <c r="A152" s="1">
        <f>IF(Param!$B$9=1,DbExcel!A152,DbWservice!A152)</f>
        <v>0</v>
      </c>
      <c r="B152" s="1">
        <f>IF(Param!$B$9=1,DbExcel!B152,DbWservice!B152)</f>
        <v>0</v>
      </c>
      <c r="C152" s="1">
        <f>IF(Param!$B$9=1,DbExcel!C152,DbWservice!C152)</f>
        <v>0</v>
      </c>
      <c r="D152" s="1">
        <f>IF(Param!$B$9=1,DbExcel!D152,DbWservice!D152)</f>
        <v>0</v>
      </c>
    </row>
    <row r="153" spans="1:4" x14ac:dyDescent="0.25">
      <c r="A153" s="1">
        <f>IF(Param!$B$9=1,DbExcel!A153,DbWservice!A153)</f>
        <v>0</v>
      </c>
      <c r="B153" s="1">
        <f>IF(Param!$B$9=1,DbExcel!B153,DbWservice!B153)</f>
        <v>0</v>
      </c>
      <c r="C153" s="1">
        <f>IF(Param!$B$9=1,DbExcel!C153,DbWservice!C153)</f>
        <v>0</v>
      </c>
      <c r="D153" s="1">
        <f>IF(Param!$B$9=1,DbExcel!D153,DbWservice!D153)</f>
        <v>0</v>
      </c>
    </row>
    <row r="154" spans="1:4" x14ac:dyDescent="0.25">
      <c r="A154" s="1">
        <f>IF(Param!$B$9=1,DbExcel!A154,DbWservice!A154)</f>
        <v>0</v>
      </c>
      <c r="B154" s="1">
        <f>IF(Param!$B$9=1,DbExcel!B154,DbWservice!B154)</f>
        <v>0</v>
      </c>
      <c r="C154" s="1">
        <f>IF(Param!$B$9=1,DbExcel!C154,DbWservice!C154)</f>
        <v>0</v>
      </c>
      <c r="D154" s="1">
        <f>IF(Param!$B$9=1,DbExcel!D154,DbWservice!D154)</f>
        <v>0</v>
      </c>
    </row>
    <row r="155" spans="1:4" x14ac:dyDescent="0.25">
      <c r="A155" s="1">
        <f>IF(Param!$B$9=1,DbExcel!A155,DbWservice!A155)</f>
        <v>0</v>
      </c>
      <c r="B155" s="1">
        <f>IF(Param!$B$9=1,DbExcel!B155,DbWservice!B155)</f>
        <v>0</v>
      </c>
      <c r="C155" s="1">
        <f>IF(Param!$B$9=1,DbExcel!C155,DbWservice!C155)</f>
        <v>0</v>
      </c>
      <c r="D155" s="1">
        <f>IF(Param!$B$9=1,DbExcel!D155,DbWservice!D155)</f>
        <v>0</v>
      </c>
    </row>
    <row r="156" spans="1:4" x14ac:dyDescent="0.25">
      <c r="A156" s="1">
        <f>IF(Param!$B$9=1,DbExcel!A156,DbWservice!A156)</f>
        <v>0</v>
      </c>
      <c r="B156" s="1">
        <f>IF(Param!$B$9=1,DbExcel!B156,DbWservice!B156)</f>
        <v>0</v>
      </c>
      <c r="C156" s="1">
        <f>IF(Param!$B$9=1,DbExcel!C156,DbWservice!C156)</f>
        <v>0</v>
      </c>
      <c r="D156" s="1">
        <f>IF(Param!$B$9=1,DbExcel!D156,DbWservice!D156)</f>
        <v>0</v>
      </c>
    </row>
    <row r="157" spans="1:4" x14ac:dyDescent="0.25">
      <c r="A157" s="1">
        <f>IF(Param!$B$9=1,DbExcel!A157,DbWservice!A157)</f>
        <v>0</v>
      </c>
      <c r="B157" s="1">
        <f>IF(Param!$B$9=1,DbExcel!B157,DbWservice!B157)</f>
        <v>0</v>
      </c>
      <c r="C157" s="1">
        <f>IF(Param!$B$9=1,DbExcel!C157,DbWservice!C157)</f>
        <v>0</v>
      </c>
      <c r="D157" s="1">
        <f>IF(Param!$B$9=1,DbExcel!D157,DbWservice!D157)</f>
        <v>0</v>
      </c>
    </row>
    <row r="158" spans="1:4" x14ac:dyDescent="0.25">
      <c r="A158" s="1">
        <f>IF(Param!$B$9=1,DbExcel!A158,DbWservice!A158)</f>
        <v>0</v>
      </c>
      <c r="B158" s="1">
        <f>IF(Param!$B$9=1,DbExcel!B158,DbWservice!B158)</f>
        <v>0</v>
      </c>
      <c r="C158" s="1">
        <f>IF(Param!$B$9=1,DbExcel!C158,DbWservice!C158)</f>
        <v>0</v>
      </c>
      <c r="D158" s="1">
        <f>IF(Param!$B$9=1,DbExcel!D158,DbWservice!D158)</f>
        <v>0</v>
      </c>
    </row>
    <row r="159" spans="1:4" x14ac:dyDescent="0.25">
      <c r="A159" s="1">
        <f>IF(Param!$B$9=1,DbExcel!A159,DbWservice!A159)</f>
        <v>0</v>
      </c>
      <c r="B159" s="1">
        <f>IF(Param!$B$9=1,DbExcel!B159,DbWservice!B159)</f>
        <v>0</v>
      </c>
      <c r="C159" s="1">
        <f>IF(Param!$B$9=1,DbExcel!C159,DbWservice!C159)</f>
        <v>0</v>
      </c>
      <c r="D159" s="1">
        <f>IF(Param!$B$9=1,DbExcel!D159,DbWservice!D159)</f>
        <v>0</v>
      </c>
    </row>
    <row r="160" spans="1:4" x14ac:dyDescent="0.25">
      <c r="A160" s="1">
        <f>IF(Param!$B$9=1,DbExcel!A160,DbWservice!A160)</f>
        <v>0</v>
      </c>
      <c r="B160" s="1">
        <f>IF(Param!$B$9=1,DbExcel!B160,DbWservice!B160)</f>
        <v>0</v>
      </c>
      <c r="C160" s="1">
        <f>IF(Param!$B$9=1,DbExcel!C160,DbWservice!C160)</f>
        <v>0</v>
      </c>
      <c r="D160" s="1">
        <f>IF(Param!$B$9=1,DbExcel!D160,DbWservice!D160)</f>
        <v>0</v>
      </c>
    </row>
    <row r="161" spans="1:4" x14ac:dyDescent="0.25">
      <c r="A161" s="1">
        <f>IF(Param!$B$9=1,DbExcel!A161,DbWservice!A161)</f>
        <v>0</v>
      </c>
      <c r="B161" s="1">
        <f>IF(Param!$B$9=1,DbExcel!B161,DbWservice!B161)</f>
        <v>0</v>
      </c>
      <c r="C161" s="1">
        <f>IF(Param!$B$9=1,DbExcel!C161,DbWservice!C161)</f>
        <v>0</v>
      </c>
      <c r="D161" s="1">
        <f>IF(Param!$B$9=1,DbExcel!D161,DbWservice!D161)</f>
        <v>0</v>
      </c>
    </row>
    <row r="162" spans="1:4" x14ac:dyDescent="0.25">
      <c r="A162" s="1">
        <f>IF(Param!$B$9=1,DbExcel!A162,DbWservice!A162)</f>
        <v>0</v>
      </c>
      <c r="B162" s="1">
        <f>IF(Param!$B$9=1,DbExcel!B162,DbWservice!B162)</f>
        <v>0</v>
      </c>
      <c r="C162" s="1">
        <f>IF(Param!$B$9=1,DbExcel!C162,DbWservice!C162)</f>
        <v>0</v>
      </c>
      <c r="D162" s="1">
        <f>IF(Param!$B$9=1,DbExcel!D162,DbWservice!D162)</f>
        <v>0</v>
      </c>
    </row>
    <row r="163" spans="1:4" x14ac:dyDescent="0.25">
      <c r="A163" s="1">
        <f>IF(Param!$B$9=1,DbExcel!A163,DbWservice!A163)</f>
        <v>0</v>
      </c>
      <c r="B163" s="1">
        <f>IF(Param!$B$9=1,DbExcel!B163,DbWservice!B163)</f>
        <v>0</v>
      </c>
      <c r="C163" s="1">
        <f>IF(Param!$B$9=1,DbExcel!C163,DbWservice!C163)</f>
        <v>0</v>
      </c>
      <c r="D163" s="1">
        <f>IF(Param!$B$9=1,DbExcel!D163,DbWservice!D163)</f>
        <v>0</v>
      </c>
    </row>
    <row r="164" spans="1:4" x14ac:dyDescent="0.25">
      <c r="A164" s="1">
        <f>IF(Param!$B$9=1,DbExcel!A164,DbWservice!A164)</f>
        <v>0</v>
      </c>
      <c r="B164" s="1">
        <f>IF(Param!$B$9=1,DbExcel!B164,DbWservice!B164)</f>
        <v>0</v>
      </c>
      <c r="C164" s="1">
        <f>IF(Param!$B$9=1,DbExcel!C164,DbWservice!C164)</f>
        <v>0</v>
      </c>
      <c r="D164" s="1">
        <f>IF(Param!$B$9=1,DbExcel!D164,DbWservice!D164)</f>
        <v>0</v>
      </c>
    </row>
    <row r="165" spans="1:4" x14ac:dyDescent="0.25">
      <c r="A165" s="1">
        <f>IF(Param!$B$9=1,DbExcel!A165,DbWservice!A165)</f>
        <v>0</v>
      </c>
      <c r="B165" s="1">
        <f>IF(Param!$B$9=1,DbExcel!B165,DbWservice!B165)</f>
        <v>0</v>
      </c>
      <c r="C165" s="1">
        <f>IF(Param!$B$9=1,DbExcel!C165,DbWservice!C165)</f>
        <v>0</v>
      </c>
      <c r="D165" s="1">
        <f>IF(Param!$B$9=1,DbExcel!D165,DbWservice!D165)</f>
        <v>0</v>
      </c>
    </row>
    <row r="166" spans="1:4" x14ac:dyDescent="0.25">
      <c r="A166" s="1">
        <f>IF(Param!$B$9=1,DbExcel!A166,DbWservice!A166)</f>
        <v>0</v>
      </c>
      <c r="B166" s="1">
        <f>IF(Param!$B$9=1,DbExcel!B166,DbWservice!B166)</f>
        <v>0</v>
      </c>
      <c r="C166" s="1">
        <f>IF(Param!$B$9=1,DbExcel!C166,DbWservice!C166)</f>
        <v>0</v>
      </c>
      <c r="D166" s="1">
        <f>IF(Param!$B$9=1,DbExcel!D166,DbWservice!D166)</f>
        <v>0</v>
      </c>
    </row>
    <row r="167" spans="1:4" x14ac:dyDescent="0.25">
      <c r="A167" s="1">
        <f>IF(Param!$B$9=1,DbExcel!A167,DbWservice!A167)</f>
        <v>0</v>
      </c>
      <c r="B167" s="1">
        <f>IF(Param!$B$9=1,DbExcel!B167,DbWservice!B167)</f>
        <v>0</v>
      </c>
      <c r="C167" s="1">
        <f>IF(Param!$B$9=1,DbExcel!C167,DbWservice!C167)</f>
        <v>0</v>
      </c>
      <c r="D167" s="1">
        <f>IF(Param!$B$9=1,DbExcel!D167,DbWservice!D167)</f>
        <v>0</v>
      </c>
    </row>
    <row r="168" spans="1:4" x14ac:dyDescent="0.25">
      <c r="A168" s="1">
        <f>IF(Param!$B$9=1,DbExcel!A168,DbWservice!A168)</f>
        <v>0</v>
      </c>
      <c r="B168" s="1">
        <f>IF(Param!$B$9=1,DbExcel!B168,DbWservice!B168)</f>
        <v>0</v>
      </c>
      <c r="C168" s="1">
        <f>IF(Param!$B$9=1,DbExcel!C168,DbWservice!C168)</f>
        <v>0</v>
      </c>
      <c r="D168" s="1">
        <f>IF(Param!$B$9=1,DbExcel!D168,DbWservice!D168)</f>
        <v>0</v>
      </c>
    </row>
    <row r="169" spans="1:4" x14ac:dyDescent="0.25">
      <c r="A169" s="1">
        <f>IF(Param!$B$9=1,DbExcel!A169,DbWservice!A169)</f>
        <v>0</v>
      </c>
      <c r="B169" s="1">
        <f>IF(Param!$B$9=1,DbExcel!B169,DbWservice!B169)</f>
        <v>0</v>
      </c>
      <c r="C169" s="1">
        <f>IF(Param!$B$9=1,DbExcel!C169,DbWservice!C169)</f>
        <v>0</v>
      </c>
      <c r="D169" s="1">
        <f>IF(Param!$B$9=1,DbExcel!D169,DbWservice!D169)</f>
        <v>0</v>
      </c>
    </row>
    <row r="170" spans="1:4" x14ac:dyDescent="0.25">
      <c r="A170" s="1">
        <f>IF(Param!$B$9=1,DbExcel!A170,DbWservice!A170)</f>
        <v>0</v>
      </c>
      <c r="B170" s="1">
        <f>IF(Param!$B$9=1,DbExcel!B170,DbWservice!B170)</f>
        <v>0</v>
      </c>
      <c r="C170" s="1">
        <f>IF(Param!$B$9=1,DbExcel!C170,DbWservice!C170)</f>
        <v>0</v>
      </c>
      <c r="D170" s="1">
        <f>IF(Param!$B$9=1,DbExcel!D170,DbWservice!D170)</f>
        <v>0</v>
      </c>
    </row>
    <row r="171" spans="1:4" x14ac:dyDescent="0.25">
      <c r="A171" s="1">
        <f>IF(Param!$B$9=1,DbExcel!A171,DbWservice!A171)</f>
        <v>0</v>
      </c>
      <c r="B171" s="1">
        <f>IF(Param!$B$9=1,DbExcel!B171,DbWservice!B171)</f>
        <v>0</v>
      </c>
      <c r="C171" s="1">
        <f>IF(Param!$B$9=1,DbExcel!C171,DbWservice!C171)</f>
        <v>0</v>
      </c>
      <c r="D171" s="1">
        <f>IF(Param!$B$9=1,DbExcel!D171,DbWservice!D171)</f>
        <v>0</v>
      </c>
    </row>
    <row r="172" spans="1:4" x14ac:dyDescent="0.25">
      <c r="A172" s="1">
        <f>IF(Param!$B$9=1,DbExcel!A172,DbWservice!A172)</f>
        <v>0</v>
      </c>
      <c r="B172" s="1">
        <f>IF(Param!$B$9=1,DbExcel!B172,DbWservice!B172)</f>
        <v>0</v>
      </c>
      <c r="C172" s="1">
        <f>IF(Param!$B$9=1,DbExcel!C172,DbWservice!C172)</f>
        <v>0</v>
      </c>
      <c r="D172" s="1">
        <f>IF(Param!$B$9=1,DbExcel!D172,DbWservice!D172)</f>
        <v>0</v>
      </c>
    </row>
    <row r="173" spans="1:4" x14ac:dyDescent="0.25">
      <c r="A173" s="1">
        <f>IF(Param!$B$9=1,DbExcel!A173,DbWservice!A173)</f>
        <v>0</v>
      </c>
      <c r="B173" s="1">
        <f>IF(Param!$B$9=1,DbExcel!B173,DbWservice!B173)</f>
        <v>0</v>
      </c>
      <c r="C173" s="1">
        <f>IF(Param!$B$9=1,DbExcel!C173,DbWservice!C173)</f>
        <v>0</v>
      </c>
      <c r="D173" s="1">
        <f>IF(Param!$B$9=1,DbExcel!D173,DbWservice!D173)</f>
        <v>0</v>
      </c>
    </row>
    <row r="174" spans="1:4" x14ac:dyDescent="0.25">
      <c r="A174" s="1">
        <f>IF(Param!$B$9=1,DbExcel!A174,DbWservice!A174)</f>
        <v>0</v>
      </c>
      <c r="B174" s="1">
        <f>IF(Param!$B$9=1,DbExcel!B174,DbWservice!B174)</f>
        <v>0</v>
      </c>
      <c r="C174" s="1">
        <f>IF(Param!$B$9=1,DbExcel!C174,DbWservice!C174)</f>
        <v>0</v>
      </c>
      <c r="D174" s="1">
        <f>IF(Param!$B$9=1,DbExcel!D174,DbWservice!D174)</f>
        <v>0</v>
      </c>
    </row>
    <row r="175" spans="1:4" x14ac:dyDescent="0.25">
      <c r="A175" s="1">
        <f>IF(Param!$B$9=1,DbExcel!A175,DbWservice!A175)</f>
        <v>0</v>
      </c>
      <c r="B175" s="1">
        <f>IF(Param!$B$9=1,DbExcel!B175,DbWservice!B175)</f>
        <v>0</v>
      </c>
      <c r="C175" s="1">
        <f>IF(Param!$B$9=1,DbExcel!C175,DbWservice!C175)</f>
        <v>0</v>
      </c>
      <c r="D175" s="1">
        <f>IF(Param!$B$9=1,DbExcel!D175,DbWservice!D175)</f>
        <v>0</v>
      </c>
    </row>
    <row r="176" spans="1:4" x14ac:dyDescent="0.25">
      <c r="A176" s="1">
        <f>IF(Param!$B$9=1,DbExcel!A176,DbWservice!A176)</f>
        <v>0</v>
      </c>
      <c r="B176" s="1">
        <f>IF(Param!$B$9=1,DbExcel!B176,DbWservice!B176)</f>
        <v>0</v>
      </c>
      <c r="C176" s="1">
        <f>IF(Param!$B$9=1,DbExcel!C176,DbWservice!C176)</f>
        <v>0</v>
      </c>
      <c r="D176" s="1">
        <f>IF(Param!$B$9=1,DbExcel!D176,DbWservice!D176)</f>
        <v>0</v>
      </c>
    </row>
    <row r="177" spans="1:4" x14ac:dyDescent="0.25">
      <c r="A177" s="1">
        <f>IF(Param!$B$9=1,DbExcel!A177,DbWservice!A177)</f>
        <v>0</v>
      </c>
      <c r="B177" s="1">
        <f>IF(Param!$B$9=1,DbExcel!B177,DbWservice!B177)</f>
        <v>0</v>
      </c>
      <c r="C177" s="1">
        <f>IF(Param!$B$9=1,DbExcel!C177,DbWservice!C177)</f>
        <v>0</v>
      </c>
      <c r="D177" s="1">
        <f>IF(Param!$B$9=1,DbExcel!D177,DbWservice!D177)</f>
        <v>0</v>
      </c>
    </row>
    <row r="178" spans="1:4" x14ac:dyDescent="0.25">
      <c r="A178" s="1">
        <f>IF(Param!$B$9=1,DbExcel!A178,DbWservice!A178)</f>
        <v>0</v>
      </c>
      <c r="B178" s="1">
        <f>IF(Param!$B$9=1,DbExcel!B178,DbWservice!B178)</f>
        <v>0</v>
      </c>
      <c r="C178" s="1">
        <f>IF(Param!$B$9=1,DbExcel!C178,DbWservice!C178)</f>
        <v>0</v>
      </c>
      <c r="D178" s="1">
        <f>IF(Param!$B$9=1,DbExcel!D178,DbWservice!D178)</f>
        <v>0</v>
      </c>
    </row>
    <row r="179" spans="1:4" x14ac:dyDescent="0.25">
      <c r="A179" s="1">
        <f>IF(Param!$B$9=1,DbExcel!A179,DbWservice!A179)</f>
        <v>0</v>
      </c>
      <c r="B179" s="1">
        <f>IF(Param!$B$9=1,DbExcel!B179,DbWservice!B179)</f>
        <v>0</v>
      </c>
      <c r="C179" s="1">
        <f>IF(Param!$B$9=1,DbExcel!C179,DbWservice!C179)</f>
        <v>0</v>
      </c>
      <c r="D179" s="1">
        <f>IF(Param!$B$9=1,DbExcel!D179,DbWservice!D179)</f>
        <v>0</v>
      </c>
    </row>
    <row r="180" spans="1:4" x14ac:dyDescent="0.25">
      <c r="A180" s="1">
        <f>IF(Param!$B$9=1,DbExcel!A180,DbWservice!A180)</f>
        <v>0</v>
      </c>
      <c r="B180" s="1">
        <f>IF(Param!$B$9=1,DbExcel!B180,DbWservice!B180)</f>
        <v>0</v>
      </c>
      <c r="C180" s="1">
        <f>IF(Param!$B$9=1,DbExcel!C180,DbWservice!C180)</f>
        <v>0</v>
      </c>
      <c r="D180" s="1">
        <f>IF(Param!$B$9=1,DbExcel!D180,DbWservice!D180)</f>
        <v>0</v>
      </c>
    </row>
    <row r="181" spans="1:4" x14ac:dyDescent="0.25">
      <c r="A181" s="1">
        <f>IF(Param!$B$9=1,DbExcel!A181,DbWservice!A181)</f>
        <v>0</v>
      </c>
      <c r="B181" s="1">
        <f>IF(Param!$B$9=1,DbExcel!B181,DbWservice!B181)</f>
        <v>0</v>
      </c>
      <c r="C181" s="1">
        <f>IF(Param!$B$9=1,DbExcel!C181,DbWservice!C181)</f>
        <v>0</v>
      </c>
      <c r="D181" s="1">
        <f>IF(Param!$B$9=1,DbExcel!D181,DbWservice!D181)</f>
        <v>0</v>
      </c>
    </row>
    <row r="182" spans="1:4" x14ac:dyDescent="0.25">
      <c r="A182" s="1">
        <f>IF(Param!$B$9=1,DbExcel!A182,DbWservice!A182)</f>
        <v>0</v>
      </c>
      <c r="B182" s="1">
        <f>IF(Param!$B$9=1,DbExcel!B182,DbWservice!B182)</f>
        <v>0</v>
      </c>
      <c r="C182" s="1">
        <f>IF(Param!$B$9=1,DbExcel!C182,DbWservice!C182)</f>
        <v>0</v>
      </c>
      <c r="D182" s="1">
        <f>IF(Param!$B$9=1,DbExcel!D182,DbWservice!D182)</f>
        <v>0</v>
      </c>
    </row>
    <row r="183" spans="1:4" x14ac:dyDescent="0.25">
      <c r="A183" s="1">
        <f>IF(Param!$B$9=1,DbExcel!A183,DbWservice!A183)</f>
        <v>0</v>
      </c>
      <c r="B183" s="1">
        <f>IF(Param!$B$9=1,DbExcel!B183,DbWservice!B183)</f>
        <v>0</v>
      </c>
      <c r="C183" s="1">
        <f>IF(Param!$B$9=1,DbExcel!C183,DbWservice!C183)</f>
        <v>0</v>
      </c>
      <c r="D183" s="1">
        <f>IF(Param!$B$9=1,DbExcel!D183,DbWservice!D183)</f>
        <v>0</v>
      </c>
    </row>
    <row r="184" spans="1:4" x14ac:dyDescent="0.25">
      <c r="A184" s="1">
        <f>IF(Param!$B$9=1,DbExcel!A184,DbWservice!A184)</f>
        <v>0</v>
      </c>
      <c r="B184" s="1">
        <f>IF(Param!$B$9=1,DbExcel!B184,DbWservice!B184)</f>
        <v>0</v>
      </c>
      <c r="C184" s="1">
        <f>IF(Param!$B$9=1,DbExcel!C184,DbWservice!C184)</f>
        <v>0</v>
      </c>
      <c r="D184" s="1">
        <f>IF(Param!$B$9=1,DbExcel!D184,DbWservice!D184)</f>
        <v>0</v>
      </c>
    </row>
    <row r="185" spans="1:4" x14ac:dyDescent="0.25">
      <c r="A185" s="1">
        <f>IF(Param!$B$9=1,DbExcel!A185,DbWservice!A185)</f>
        <v>0</v>
      </c>
      <c r="B185" s="1">
        <f>IF(Param!$B$9=1,DbExcel!B185,DbWservice!B185)</f>
        <v>0</v>
      </c>
      <c r="C185" s="1">
        <f>IF(Param!$B$9=1,DbExcel!C185,DbWservice!C185)</f>
        <v>0</v>
      </c>
      <c r="D185" s="1">
        <f>IF(Param!$B$9=1,DbExcel!D185,DbWservice!D185)</f>
        <v>0</v>
      </c>
    </row>
    <row r="186" spans="1:4" x14ac:dyDescent="0.25">
      <c r="A186" s="1">
        <f>IF(Param!$B$9=1,DbExcel!A186,DbWservice!A186)</f>
        <v>0</v>
      </c>
      <c r="B186" s="1">
        <f>IF(Param!$B$9=1,DbExcel!B186,DbWservice!B186)</f>
        <v>0</v>
      </c>
      <c r="C186" s="1">
        <f>IF(Param!$B$9=1,DbExcel!C186,DbWservice!C186)</f>
        <v>0</v>
      </c>
      <c r="D186" s="1">
        <f>IF(Param!$B$9=1,DbExcel!D186,DbWservice!D186)</f>
        <v>0</v>
      </c>
    </row>
    <row r="187" spans="1:4" x14ac:dyDescent="0.25">
      <c r="A187" s="1">
        <f>IF(Param!$B$9=1,DbExcel!A187,DbWservice!A187)</f>
        <v>0</v>
      </c>
      <c r="B187" s="1">
        <f>IF(Param!$B$9=1,DbExcel!B187,DbWservice!B187)</f>
        <v>0</v>
      </c>
      <c r="C187" s="1">
        <f>IF(Param!$B$9=1,DbExcel!C187,DbWservice!C187)</f>
        <v>0</v>
      </c>
      <c r="D187" s="1">
        <f>IF(Param!$B$9=1,DbExcel!D187,DbWservice!D187)</f>
        <v>0</v>
      </c>
    </row>
    <row r="188" spans="1:4" x14ac:dyDescent="0.25">
      <c r="A188" s="1">
        <f>IF(Param!$B$9=1,DbExcel!A188,DbWservice!A188)</f>
        <v>0</v>
      </c>
      <c r="B188" s="1">
        <f>IF(Param!$B$9=1,DbExcel!B188,DbWservice!B188)</f>
        <v>0</v>
      </c>
      <c r="C188" s="1">
        <f>IF(Param!$B$9=1,DbExcel!C188,DbWservice!C188)</f>
        <v>0</v>
      </c>
      <c r="D188" s="1">
        <f>IF(Param!$B$9=1,DbExcel!D188,DbWservice!D188)</f>
        <v>0</v>
      </c>
    </row>
    <row r="189" spans="1:4" x14ac:dyDescent="0.25">
      <c r="A189" s="1">
        <f>IF(Param!$B$9=1,DbExcel!A189,DbWservice!A189)</f>
        <v>0</v>
      </c>
      <c r="B189" s="1">
        <f>IF(Param!$B$9=1,DbExcel!B189,DbWservice!B189)</f>
        <v>0</v>
      </c>
      <c r="C189" s="1">
        <f>IF(Param!$B$9=1,DbExcel!C189,DbWservice!C189)</f>
        <v>0</v>
      </c>
      <c r="D189" s="1">
        <f>IF(Param!$B$9=1,DbExcel!D189,DbWservice!D189)</f>
        <v>0</v>
      </c>
    </row>
    <row r="190" spans="1:4" x14ac:dyDescent="0.25">
      <c r="A190" s="1">
        <f>IF(Param!$B$9=1,DbExcel!A190,DbWservice!A190)</f>
        <v>0</v>
      </c>
      <c r="B190" s="1">
        <f>IF(Param!$B$9=1,DbExcel!B190,DbWservice!B190)</f>
        <v>0</v>
      </c>
      <c r="C190" s="1">
        <f>IF(Param!$B$9=1,DbExcel!C190,DbWservice!C190)</f>
        <v>0</v>
      </c>
      <c r="D190" s="1">
        <f>IF(Param!$B$9=1,DbExcel!D190,DbWservice!D190)</f>
        <v>0</v>
      </c>
    </row>
    <row r="191" spans="1:4" x14ac:dyDescent="0.25">
      <c r="A191" s="1">
        <f>IF(Param!$B$9=1,DbExcel!A191,DbWservice!A191)</f>
        <v>0</v>
      </c>
      <c r="B191" s="1">
        <f>IF(Param!$B$9=1,DbExcel!B191,DbWservice!B191)</f>
        <v>0</v>
      </c>
      <c r="C191" s="1">
        <f>IF(Param!$B$9=1,DbExcel!C191,DbWservice!C191)</f>
        <v>0</v>
      </c>
      <c r="D191" s="1">
        <f>IF(Param!$B$9=1,DbExcel!D191,DbWservice!D191)</f>
        <v>0</v>
      </c>
    </row>
    <row r="192" spans="1:4" x14ac:dyDescent="0.25">
      <c r="A192" s="1">
        <f>IF(Param!$B$9=1,DbExcel!A192,DbWservice!A192)</f>
        <v>0</v>
      </c>
      <c r="B192" s="1">
        <f>IF(Param!$B$9=1,DbExcel!B192,DbWservice!B192)</f>
        <v>0</v>
      </c>
      <c r="C192" s="1">
        <f>IF(Param!$B$9=1,DbExcel!C192,DbWservice!C192)</f>
        <v>0</v>
      </c>
      <c r="D192" s="1">
        <f>IF(Param!$B$9=1,DbExcel!D192,DbWservice!D192)</f>
        <v>0</v>
      </c>
    </row>
    <row r="193" spans="1:4" x14ac:dyDescent="0.25">
      <c r="A193" s="1">
        <f>IF(Param!$B$9=1,DbExcel!A193,DbWservice!A193)</f>
        <v>0</v>
      </c>
      <c r="B193" s="1">
        <f>IF(Param!$B$9=1,DbExcel!B193,DbWservice!B193)</f>
        <v>0</v>
      </c>
      <c r="C193" s="1">
        <f>IF(Param!$B$9=1,DbExcel!C193,DbWservice!C193)</f>
        <v>0</v>
      </c>
      <c r="D193" s="1">
        <f>IF(Param!$B$9=1,DbExcel!D193,DbWservice!D193)</f>
        <v>0</v>
      </c>
    </row>
    <row r="194" spans="1:4" x14ac:dyDescent="0.25">
      <c r="A194" s="1">
        <f>IF(Param!$B$9=1,DbExcel!A194,DbWservice!A194)</f>
        <v>0</v>
      </c>
      <c r="B194" s="1">
        <f>IF(Param!$B$9=1,DbExcel!B194,DbWservice!B194)</f>
        <v>0</v>
      </c>
      <c r="C194" s="1">
        <f>IF(Param!$B$9=1,DbExcel!C194,DbWservice!C194)</f>
        <v>0</v>
      </c>
      <c r="D194" s="1">
        <f>IF(Param!$B$9=1,DbExcel!D194,DbWservice!D194)</f>
        <v>0</v>
      </c>
    </row>
    <row r="195" spans="1:4" x14ac:dyDescent="0.25">
      <c r="A195" s="1">
        <f>IF(Param!$B$9=1,DbExcel!A195,DbWservice!A195)</f>
        <v>0</v>
      </c>
      <c r="B195" s="1">
        <f>IF(Param!$B$9=1,DbExcel!B195,DbWservice!B195)</f>
        <v>0</v>
      </c>
      <c r="C195" s="1">
        <f>IF(Param!$B$9=1,DbExcel!C195,DbWservice!C195)</f>
        <v>0</v>
      </c>
      <c r="D195" s="1">
        <f>IF(Param!$B$9=1,DbExcel!D195,DbWservice!D195)</f>
        <v>0</v>
      </c>
    </row>
    <row r="196" spans="1:4" x14ac:dyDescent="0.25">
      <c r="A196" s="1">
        <f>IF(Param!$B$9=1,DbExcel!A196,DbWservice!A196)</f>
        <v>0</v>
      </c>
      <c r="B196" s="1">
        <f>IF(Param!$B$9=1,DbExcel!B196,DbWservice!B196)</f>
        <v>0</v>
      </c>
      <c r="C196" s="1">
        <f>IF(Param!$B$9=1,DbExcel!C196,DbWservice!C196)</f>
        <v>0</v>
      </c>
      <c r="D196" s="1">
        <f>IF(Param!$B$9=1,DbExcel!D196,DbWservice!D196)</f>
        <v>0</v>
      </c>
    </row>
    <row r="197" spans="1:4" x14ac:dyDescent="0.25">
      <c r="A197" s="1">
        <f>IF(Param!$B$9=1,DbExcel!A197,DbWservice!A197)</f>
        <v>0</v>
      </c>
      <c r="B197" s="1">
        <f>IF(Param!$B$9=1,DbExcel!B197,DbWservice!B197)</f>
        <v>0</v>
      </c>
      <c r="C197" s="1">
        <f>IF(Param!$B$9=1,DbExcel!C197,DbWservice!C197)</f>
        <v>0</v>
      </c>
      <c r="D197" s="1">
        <f>IF(Param!$B$9=1,DbExcel!D197,DbWservice!D197)</f>
        <v>0</v>
      </c>
    </row>
    <row r="198" spans="1:4" x14ac:dyDescent="0.25">
      <c r="A198" s="1">
        <f>IF(Param!$B$9=1,DbExcel!A198,DbWservice!A198)</f>
        <v>0</v>
      </c>
      <c r="B198" s="1">
        <f>IF(Param!$B$9=1,DbExcel!B198,DbWservice!B198)</f>
        <v>0</v>
      </c>
      <c r="C198" s="1">
        <f>IF(Param!$B$9=1,DbExcel!C198,DbWservice!C198)</f>
        <v>0</v>
      </c>
      <c r="D198" s="1">
        <f>IF(Param!$B$9=1,DbExcel!D198,DbWservice!D198)</f>
        <v>0</v>
      </c>
    </row>
    <row r="199" spans="1:4" x14ac:dyDescent="0.25">
      <c r="A199" s="1">
        <f>IF(Param!$B$9=1,DbExcel!A199,DbWservice!A199)</f>
        <v>0</v>
      </c>
      <c r="B199" s="1">
        <f>IF(Param!$B$9=1,DbExcel!B199,DbWservice!B199)</f>
        <v>0</v>
      </c>
      <c r="C199" s="1">
        <f>IF(Param!$B$9=1,DbExcel!C199,DbWservice!C199)</f>
        <v>0</v>
      </c>
      <c r="D199" s="1">
        <f>IF(Param!$B$9=1,DbExcel!D199,DbWservice!D199)</f>
        <v>0</v>
      </c>
    </row>
    <row r="200" spans="1:4" x14ac:dyDescent="0.25">
      <c r="A200" s="1">
        <f>IF(Param!$B$9=1,DbExcel!A200,DbWservice!A200)</f>
        <v>0</v>
      </c>
      <c r="B200" s="1">
        <f>IF(Param!$B$9=1,DbExcel!B200,DbWservice!B200)</f>
        <v>0</v>
      </c>
      <c r="C200" s="1">
        <f>IF(Param!$B$9=1,DbExcel!C200,DbWservice!C200)</f>
        <v>0</v>
      </c>
      <c r="D200" s="1">
        <f>IF(Param!$B$9=1,DbExcel!D200,DbWservice!D200)</f>
        <v>0</v>
      </c>
    </row>
    <row r="201" spans="1:4" x14ac:dyDescent="0.25">
      <c r="A201" s="1">
        <f>IF(Param!$B$9=1,DbExcel!A201,DbWservice!A201)</f>
        <v>0</v>
      </c>
      <c r="B201" s="1">
        <f>IF(Param!$B$9=1,DbExcel!B201,DbWservice!B201)</f>
        <v>0</v>
      </c>
      <c r="C201" s="1">
        <f>IF(Param!$B$9=1,DbExcel!C201,DbWservice!C201)</f>
        <v>0</v>
      </c>
      <c r="D201" s="1">
        <f>IF(Param!$B$9=1,DbExcel!D201,DbWservice!D201)</f>
        <v>0</v>
      </c>
    </row>
    <row r="202" spans="1:4" x14ac:dyDescent="0.25">
      <c r="A202" s="1">
        <f>IF(Param!$B$9=1,DbExcel!A202,DbWservice!A202)</f>
        <v>0</v>
      </c>
      <c r="B202" s="1">
        <f>IF(Param!$B$9=1,DbExcel!B202,DbWservice!B202)</f>
        <v>0</v>
      </c>
      <c r="C202" s="1">
        <f>IF(Param!$B$9=1,DbExcel!C202,DbWservice!C202)</f>
        <v>0</v>
      </c>
      <c r="D202" s="1">
        <f>IF(Param!$B$9=1,DbExcel!D202,DbWservice!D202)</f>
        <v>0</v>
      </c>
    </row>
    <row r="203" spans="1:4" x14ac:dyDescent="0.25">
      <c r="A203" s="1">
        <f>IF(Param!$B$9=1,DbExcel!A203,DbWservice!A203)</f>
        <v>0</v>
      </c>
      <c r="B203" s="1">
        <f>IF(Param!$B$9=1,DbExcel!B203,DbWservice!B203)</f>
        <v>0</v>
      </c>
      <c r="C203" s="1">
        <f>IF(Param!$B$9=1,DbExcel!C203,DbWservice!C203)</f>
        <v>0</v>
      </c>
      <c r="D203" s="1">
        <f>IF(Param!$B$9=1,DbExcel!D203,DbWservice!D203)</f>
        <v>0</v>
      </c>
    </row>
    <row r="204" spans="1:4" x14ac:dyDescent="0.25">
      <c r="A204" s="1">
        <f>IF(Param!$B$9=1,DbExcel!A204,DbWservice!A204)</f>
        <v>0</v>
      </c>
      <c r="B204" s="1">
        <f>IF(Param!$B$9=1,DbExcel!B204,DbWservice!B204)</f>
        <v>0</v>
      </c>
      <c r="C204" s="1">
        <f>IF(Param!$B$9=1,DbExcel!C204,DbWservice!C204)</f>
        <v>0</v>
      </c>
      <c r="D204" s="1">
        <f>IF(Param!$B$9=1,DbExcel!D204,DbWservice!D204)</f>
        <v>0</v>
      </c>
    </row>
    <row r="205" spans="1:4" x14ac:dyDescent="0.25">
      <c r="A205" s="1">
        <f>IF(Param!$B$9=1,DbExcel!A205,DbWservice!A205)</f>
        <v>0</v>
      </c>
      <c r="B205" s="1">
        <f>IF(Param!$B$9=1,DbExcel!B205,DbWservice!B205)</f>
        <v>0</v>
      </c>
      <c r="C205" s="1">
        <f>IF(Param!$B$9=1,DbExcel!C205,DbWservice!C205)</f>
        <v>0</v>
      </c>
      <c r="D205" s="1">
        <f>IF(Param!$B$9=1,DbExcel!D205,DbWservice!D205)</f>
        <v>0</v>
      </c>
    </row>
    <row r="206" spans="1:4" x14ac:dyDescent="0.25">
      <c r="A206" s="1">
        <f>IF(Param!$B$9=1,DbExcel!A206,DbWservice!A206)</f>
        <v>0</v>
      </c>
      <c r="B206" s="1">
        <f>IF(Param!$B$9=1,DbExcel!B206,DbWservice!B206)</f>
        <v>0</v>
      </c>
      <c r="C206" s="1">
        <f>IF(Param!$B$9=1,DbExcel!C206,DbWservice!C206)</f>
        <v>0</v>
      </c>
      <c r="D206" s="1">
        <f>IF(Param!$B$9=1,DbExcel!D206,DbWservice!D206)</f>
        <v>0</v>
      </c>
    </row>
    <row r="207" spans="1:4" x14ac:dyDescent="0.25">
      <c r="A207" s="1">
        <f>IF(Param!$B$9=1,DbExcel!A207,DbWservice!A207)</f>
        <v>0</v>
      </c>
      <c r="B207" s="1">
        <f>IF(Param!$B$9=1,DbExcel!B207,DbWservice!B207)</f>
        <v>0</v>
      </c>
      <c r="C207" s="1">
        <f>IF(Param!$B$9=1,DbExcel!C207,DbWservice!C207)</f>
        <v>0</v>
      </c>
      <c r="D207" s="1">
        <f>IF(Param!$B$9=1,DbExcel!D207,DbWservice!D207)</f>
        <v>0</v>
      </c>
    </row>
    <row r="208" spans="1:4" x14ac:dyDescent="0.25">
      <c r="A208" s="1">
        <f>IF(Param!$B$9=1,DbExcel!A208,DbWservice!A208)</f>
        <v>0</v>
      </c>
      <c r="B208" s="1">
        <f>IF(Param!$B$9=1,DbExcel!B208,DbWservice!B208)</f>
        <v>0</v>
      </c>
      <c r="C208" s="1">
        <f>IF(Param!$B$9=1,DbExcel!C208,DbWservice!C208)</f>
        <v>0</v>
      </c>
      <c r="D208" s="1">
        <f>IF(Param!$B$9=1,DbExcel!D208,DbWservice!D208)</f>
        <v>0</v>
      </c>
    </row>
    <row r="209" spans="1:4" x14ac:dyDescent="0.25">
      <c r="A209" s="1">
        <f>IF(Param!$B$9=1,DbExcel!A209,DbWservice!A209)</f>
        <v>0</v>
      </c>
      <c r="B209" s="1">
        <f>IF(Param!$B$9=1,DbExcel!B209,DbWservice!B209)</f>
        <v>0</v>
      </c>
      <c r="C209" s="1">
        <f>IF(Param!$B$9=1,DbExcel!C209,DbWservice!C209)</f>
        <v>0</v>
      </c>
      <c r="D209" s="1">
        <f>IF(Param!$B$9=1,DbExcel!D209,DbWservice!D209)</f>
        <v>0</v>
      </c>
    </row>
    <row r="210" spans="1:4" x14ac:dyDescent="0.25">
      <c r="A210" s="1">
        <f>IF(Param!$B$9=1,DbExcel!A210,DbWservice!A210)</f>
        <v>0</v>
      </c>
      <c r="B210" s="1">
        <f>IF(Param!$B$9=1,DbExcel!B210,DbWservice!B210)</f>
        <v>0</v>
      </c>
      <c r="C210" s="1">
        <f>IF(Param!$B$9=1,DbExcel!C210,DbWservice!C210)</f>
        <v>0</v>
      </c>
      <c r="D210" s="1">
        <f>IF(Param!$B$9=1,DbExcel!D210,DbWservice!D210)</f>
        <v>0</v>
      </c>
    </row>
    <row r="211" spans="1:4" x14ac:dyDescent="0.25">
      <c r="A211" s="1">
        <f>IF(Param!$B$9=1,DbExcel!A211,DbWservice!A211)</f>
        <v>0</v>
      </c>
      <c r="B211" s="1">
        <f>IF(Param!$B$9=1,DbExcel!B211,DbWservice!B211)</f>
        <v>0</v>
      </c>
      <c r="C211" s="1">
        <f>IF(Param!$B$9=1,DbExcel!C211,DbWservice!C211)</f>
        <v>0</v>
      </c>
      <c r="D211" s="1">
        <f>IF(Param!$B$9=1,DbExcel!D211,DbWservice!D211)</f>
        <v>0</v>
      </c>
    </row>
    <row r="212" spans="1:4" x14ac:dyDescent="0.25">
      <c r="A212" s="1">
        <f>IF(Param!$B$9=1,DbExcel!A212,DbWservice!A212)</f>
        <v>0</v>
      </c>
      <c r="B212" s="1">
        <f>IF(Param!$B$9=1,DbExcel!B212,DbWservice!B212)</f>
        <v>0</v>
      </c>
      <c r="C212" s="1">
        <f>IF(Param!$B$9=1,DbExcel!C212,DbWservice!C212)</f>
        <v>0</v>
      </c>
      <c r="D212" s="1">
        <f>IF(Param!$B$9=1,DbExcel!D212,DbWservice!D212)</f>
        <v>0</v>
      </c>
    </row>
    <row r="213" spans="1:4" x14ac:dyDescent="0.25">
      <c r="A213" s="1">
        <f>IF(Param!$B$9=1,DbExcel!A213,DbWservice!A213)</f>
        <v>0</v>
      </c>
      <c r="B213" s="1">
        <f>IF(Param!$B$9=1,DbExcel!B213,DbWservice!B213)</f>
        <v>0</v>
      </c>
      <c r="C213" s="1">
        <f>IF(Param!$B$9=1,DbExcel!C213,DbWservice!C213)</f>
        <v>0</v>
      </c>
      <c r="D213" s="1">
        <f>IF(Param!$B$9=1,DbExcel!D213,DbWservice!D213)</f>
        <v>0</v>
      </c>
    </row>
    <row r="214" spans="1:4" x14ac:dyDescent="0.25">
      <c r="A214" s="1">
        <f>IF(Param!$B$9=1,DbExcel!A214,DbWservice!A214)</f>
        <v>0</v>
      </c>
      <c r="B214" s="1">
        <f>IF(Param!$B$9=1,DbExcel!B214,DbWservice!B214)</f>
        <v>0</v>
      </c>
      <c r="C214" s="1">
        <f>IF(Param!$B$9=1,DbExcel!C214,DbWservice!C214)</f>
        <v>0</v>
      </c>
      <c r="D214" s="1">
        <f>IF(Param!$B$9=1,DbExcel!D214,DbWservice!D214)</f>
        <v>0</v>
      </c>
    </row>
    <row r="215" spans="1:4" x14ac:dyDescent="0.25">
      <c r="A215" s="1">
        <f>IF(Param!$B$9=1,DbExcel!A215,DbWservice!A215)</f>
        <v>0</v>
      </c>
      <c r="B215" s="1">
        <f>IF(Param!$B$9=1,DbExcel!B215,DbWservice!B215)</f>
        <v>0</v>
      </c>
      <c r="C215" s="1">
        <f>IF(Param!$B$9=1,DbExcel!C215,DbWservice!C215)</f>
        <v>0</v>
      </c>
      <c r="D215" s="1">
        <f>IF(Param!$B$9=1,DbExcel!D215,DbWservice!D215)</f>
        <v>0</v>
      </c>
    </row>
    <row r="216" spans="1:4" x14ac:dyDescent="0.25">
      <c r="A216" s="1">
        <f>IF(Param!$B$9=1,DbExcel!A216,DbWservice!A216)</f>
        <v>0</v>
      </c>
      <c r="B216" s="1">
        <f>IF(Param!$B$9=1,DbExcel!B216,DbWservice!B216)</f>
        <v>0</v>
      </c>
      <c r="C216" s="1">
        <f>IF(Param!$B$9=1,DbExcel!C216,DbWservice!C216)</f>
        <v>0</v>
      </c>
      <c r="D216" s="1">
        <f>IF(Param!$B$9=1,DbExcel!D216,DbWservice!D216)</f>
        <v>0</v>
      </c>
    </row>
    <row r="217" spans="1:4" x14ac:dyDescent="0.25">
      <c r="A217" s="1">
        <f>IF(Param!$B$9=1,DbExcel!A217,DbWservice!A217)</f>
        <v>0</v>
      </c>
      <c r="B217" s="1">
        <f>IF(Param!$B$9=1,DbExcel!B217,DbWservice!B217)</f>
        <v>0</v>
      </c>
      <c r="C217" s="1">
        <f>IF(Param!$B$9=1,DbExcel!C217,DbWservice!C217)</f>
        <v>0</v>
      </c>
      <c r="D217" s="1">
        <f>IF(Param!$B$9=1,DbExcel!D217,DbWservice!D217)</f>
        <v>0</v>
      </c>
    </row>
    <row r="218" spans="1:4" x14ac:dyDescent="0.25">
      <c r="A218" s="1">
        <f>IF(Param!$B$9=1,DbExcel!A218,DbWservice!A218)</f>
        <v>0</v>
      </c>
      <c r="B218" s="1">
        <f>IF(Param!$B$9=1,DbExcel!B218,DbWservice!B218)</f>
        <v>0</v>
      </c>
      <c r="C218" s="1">
        <f>IF(Param!$B$9=1,DbExcel!C218,DbWservice!C218)</f>
        <v>0</v>
      </c>
      <c r="D218" s="1">
        <f>IF(Param!$B$9=1,DbExcel!D218,DbWservice!D218)</f>
        <v>0</v>
      </c>
    </row>
    <row r="219" spans="1:4" x14ac:dyDescent="0.25">
      <c r="A219" s="1">
        <f>IF(Param!$B$9=1,DbExcel!A219,DbWservice!A219)</f>
        <v>0</v>
      </c>
      <c r="B219" s="1">
        <f>IF(Param!$B$9=1,DbExcel!B219,DbWservice!B219)</f>
        <v>0</v>
      </c>
      <c r="C219" s="1">
        <f>IF(Param!$B$9=1,DbExcel!C219,DbWservice!C219)</f>
        <v>0</v>
      </c>
      <c r="D219" s="1">
        <f>IF(Param!$B$9=1,DbExcel!D219,DbWservice!D219)</f>
        <v>0</v>
      </c>
    </row>
    <row r="220" spans="1:4" x14ac:dyDescent="0.25">
      <c r="A220" s="1">
        <f>IF(Param!$B$9=1,DbExcel!A220,DbWservice!A220)</f>
        <v>0</v>
      </c>
      <c r="B220" s="1">
        <f>IF(Param!$B$9=1,DbExcel!B220,DbWservice!B220)</f>
        <v>0</v>
      </c>
      <c r="C220" s="1">
        <f>IF(Param!$B$9=1,DbExcel!C220,DbWservice!C220)</f>
        <v>0</v>
      </c>
      <c r="D220" s="1">
        <f>IF(Param!$B$9=1,DbExcel!D220,DbWservice!D220)</f>
        <v>0</v>
      </c>
    </row>
    <row r="221" spans="1:4" x14ac:dyDescent="0.25">
      <c r="A221" s="1">
        <f>IF(Param!$B$9=1,DbExcel!A221,DbWservice!A221)</f>
        <v>0</v>
      </c>
      <c r="B221" s="1">
        <f>IF(Param!$B$9=1,DbExcel!B221,DbWservice!B221)</f>
        <v>0</v>
      </c>
      <c r="C221" s="1">
        <f>IF(Param!$B$9=1,DbExcel!C221,DbWservice!C221)</f>
        <v>0</v>
      </c>
      <c r="D221" s="1">
        <f>IF(Param!$B$9=1,DbExcel!D221,DbWservice!D221)</f>
        <v>0</v>
      </c>
    </row>
    <row r="222" spans="1:4" x14ac:dyDescent="0.25">
      <c r="A222" s="1">
        <f>IF(Param!$B$9=1,DbExcel!A222,DbWservice!A222)</f>
        <v>0</v>
      </c>
      <c r="B222" s="1">
        <f>IF(Param!$B$9=1,DbExcel!B222,DbWservice!B222)</f>
        <v>0</v>
      </c>
      <c r="C222" s="1">
        <f>IF(Param!$B$9=1,DbExcel!C222,DbWservice!C222)</f>
        <v>0</v>
      </c>
      <c r="D222" s="1">
        <f>IF(Param!$B$9=1,DbExcel!D222,DbWservice!D222)</f>
        <v>0</v>
      </c>
    </row>
    <row r="223" spans="1:4" x14ac:dyDescent="0.25">
      <c r="A223" s="1">
        <f>IF(Param!$B$9=1,DbExcel!A223,DbWservice!A223)</f>
        <v>0</v>
      </c>
      <c r="B223" s="1">
        <f>IF(Param!$B$9=1,DbExcel!B223,DbWservice!B223)</f>
        <v>0</v>
      </c>
      <c r="C223" s="1">
        <f>IF(Param!$B$9=1,DbExcel!C223,DbWservice!C223)</f>
        <v>0</v>
      </c>
      <c r="D223" s="1">
        <f>IF(Param!$B$9=1,DbExcel!D223,DbWservice!D223)</f>
        <v>0</v>
      </c>
    </row>
    <row r="224" spans="1:4" x14ac:dyDescent="0.25">
      <c r="A224" s="1">
        <f>IF(Param!$B$9=1,DbExcel!A224,DbWservice!A224)</f>
        <v>0</v>
      </c>
      <c r="B224" s="1">
        <f>IF(Param!$B$9=1,DbExcel!B224,DbWservice!B224)</f>
        <v>0</v>
      </c>
      <c r="C224" s="1">
        <f>IF(Param!$B$9=1,DbExcel!C224,DbWservice!C224)</f>
        <v>0</v>
      </c>
      <c r="D224" s="1">
        <f>IF(Param!$B$9=1,DbExcel!D224,DbWservice!D224)</f>
        <v>0</v>
      </c>
    </row>
    <row r="225" spans="1:4" x14ac:dyDescent="0.25">
      <c r="A225" s="1">
        <f>IF(Param!$B$9=1,DbExcel!A225,DbWservice!A225)</f>
        <v>0</v>
      </c>
      <c r="B225" s="1">
        <f>IF(Param!$B$9=1,DbExcel!B225,DbWservice!B225)</f>
        <v>0</v>
      </c>
      <c r="C225" s="1">
        <f>IF(Param!$B$9=1,DbExcel!C225,DbWservice!C225)</f>
        <v>0</v>
      </c>
      <c r="D225" s="1">
        <f>IF(Param!$B$9=1,DbExcel!D225,DbWservice!D225)</f>
        <v>0</v>
      </c>
    </row>
    <row r="226" spans="1:4" x14ac:dyDescent="0.25">
      <c r="A226" s="1">
        <f>IF(Param!$B$9=1,DbExcel!A226,DbWservice!A226)</f>
        <v>0</v>
      </c>
      <c r="B226" s="1">
        <f>IF(Param!$B$9=1,DbExcel!B226,DbWservice!B226)</f>
        <v>0</v>
      </c>
      <c r="C226" s="1">
        <f>IF(Param!$B$9=1,DbExcel!C226,DbWservice!C226)</f>
        <v>0</v>
      </c>
      <c r="D226" s="1">
        <f>IF(Param!$B$9=1,DbExcel!D226,DbWservice!D226)</f>
        <v>0</v>
      </c>
    </row>
    <row r="227" spans="1:4" x14ac:dyDescent="0.25">
      <c r="A227" s="1">
        <f>IF(Param!$B$9=1,DbExcel!A227,DbWservice!A227)</f>
        <v>0</v>
      </c>
      <c r="B227" s="1">
        <f>IF(Param!$B$9=1,DbExcel!B227,DbWservice!B227)</f>
        <v>0</v>
      </c>
      <c r="C227" s="1">
        <f>IF(Param!$B$9=1,DbExcel!C227,DbWservice!C227)</f>
        <v>0</v>
      </c>
      <c r="D227" s="1">
        <f>IF(Param!$B$9=1,DbExcel!D227,DbWservice!D227)</f>
        <v>0</v>
      </c>
    </row>
    <row r="228" spans="1:4" x14ac:dyDescent="0.25">
      <c r="A228" s="1">
        <f>IF(Param!$B$9=1,DbExcel!A228,DbWservice!A228)</f>
        <v>0</v>
      </c>
      <c r="B228" s="1">
        <f>IF(Param!$B$9=1,DbExcel!B228,DbWservice!B228)</f>
        <v>0</v>
      </c>
      <c r="C228" s="1">
        <f>IF(Param!$B$9=1,DbExcel!C228,DbWservice!C228)</f>
        <v>0</v>
      </c>
      <c r="D228" s="1">
        <f>IF(Param!$B$9=1,DbExcel!D228,DbWservice!D228)</f>
        <v>0</v>
      </c>
    </row>
    <row r="229" spans="1:4" x14ac:dyDescent="0.25">
      <c r="A229" s="1">
        <f>IF(Param!$B$9=1,DbExcel!A229,DbWservice!A229)</f>
        <v>0</v>
      </c>
      <c r="B229" s="1">
        <f>IF(Param!$B$9=1,DbExcel!B229,DbWservice!B229)</f>
        <v>0</v>
      </c>
      <c r="C229" s="1">
        <f>IF(Param!$B$9=1,DbExcel!C229,DbWservice!C229)</f>
        <v>0</v>
      </c>
      <c r="D229" s="1">
        <f>IF(Param!$B$9=1,DbExcel!D229,DbWservice!D229)</f>
        <v>0</v>
      </c>
    </row>
    <row r="230" spans="1:4" x14ac:dyDescent="0.25">
      <c r="A230" s="1">
        <f>IF(Param!$B$9=1,DbExcel!A230,DbWservice!A230)</f>
        <v>0</v>
      </c>
      <c r="B230" s="1">
        <f>IF(Param!$B$9=1,DbExcel!B230,DbWservice!B230)</f>
        <v>0</v>
      </c>
      <c r="C230" s="1">
        <f>IF(Param!$B$9=1,DbExcel!C230,DbWservice!C230)</f>
        <v>0</v>
      </c>
      <c r="D230" s="1">
        <f>IF(Param!$B$9=1,DbExcel!D230,DbWservice!D230)</f>
        <v>0</v>
      </c>
    </row>
    <row r="231" spans="1:4" x14ac:dyDescent="0.25">
      <c r="A231" s="1">
        <f>IF(Param!$B$9=1,DbExcel!A231,DbWservice!A231)</f>
        <v>0</v>
      </c>
      <c r="B231" s="1">
        <f>IF(Param!$B$9=1,DbExcel!B231,DbWservice!B231)</f>
        <v>0</v>
      </c>
      <c r="C231" s="1">
        <f>IF(Param!$B$9=1,DbExcel!C231,DbWservice!C231)</f>
        <v>0</v>
      </c>
      <c r="D231" s="1">
        <f>IF(Param!$B$9=1,DbExcel!D231,DbWservice!D231)</f>
        <v>0</v>
      </c>
    </row>
    <row r="232" spans="1:4" x14ac:dyDescent="0.25">
      <c r="A232" s="1">
        <f>IF(Param!$B$9=1,DbExcel!A232,DbWservice!A232)</f>
        <v>0</v>
      </c>
      <c r="B232" s="1">
        <f>IF(Param!$B$9=1,DbExcel!B232,DbWservice!B232)</f>
        <v>0</v>
      </c>
      <c r="C232" s="1">
        <f>IF(Param!$B$9=1,DbExcel!C232,DbWservice!C232)</f>
        <v>0</v>
      </c>
      <c r="D232" s="1">
        <f>IF(Param!$B$9=1,DbExcel!D232,DbWservice!D232)</f>
        <v>0</v>
      </c>
    </row>
    <row r="233" spans="1:4" x14ac:dyDescent="0.25">
      <c r="A233" s="1">
        <f>IF(Param!$B$9=1,DbExcel!A233,DbWservice!A233)</f>
        <v>0</v>
      </c>
      <c r="B233" s="1">
        <f>IF(Param!$B$9=1,DbExcel!B233,DbWservice!B233)</f>
        <v>0</v>
      </c>
      <c r="C233" s="1">
        <f>IF(Param!$B$9=1,DbExcel!C233,DbWservice!C233)</f>
        <v>0</v>
      </c>
      <c r="D233" s="1">
        <f>IF(Param!$B$9=1,DbExcel!D233,DbWservice!D233)</f>
        <v>0</v>
      </c>
    </row>
    <row r="234" spans="1:4" x14ac:dyDescent="0.25">
      <c r="A234" s="1">
        <f>IF(Param!$B$9=1,DbExcel!A234,DbWservice!A234)</f>
        <v>0</v>
      </c>
      <c r="B234" s="1">
        <f>IF(Param!$B$9=1,DbExcel!B234,DbWservice!B234)</f>
        <v>0</v>
      </c>
      <c r="C234" s="1">
        <f>IF(Param!$B$9=1,DbExcel!C234,DbWservice!C234)</f>
        <v>0</v>
      </c>
      <c r="D234" s="1">
        <f>IF(Param!$B$9=1,DbExcel!D234,DbWservice!D234)</f>
        <v>0</v>
      </c>
    </row>
    <row r="235" spans="1:4" x14ac:dyDescent="0.25">
      <c r="A235" s="1">
        <f>IF(Param!$B$9=1,DbExcel!A235,DbWservice!A235)</f>
        <v>0</v>
      </c>
      <c r="B235" s="1">
        <f>IF(Param!$B$9=1,DbExcel!B235,DbWservice!B235)</f>
        <v>0</v>
      </c>
      <c r="C235" s="1">
        <f>IF(Param!$B$9=1,DbExcel!C235,DbWservice!C235)</f>
        <v>0</v>
      </c>
      <c r="D235" s="1">
        <f>IF(Param!$B$9=1,DbExcel!D235,DbWservice!D235)</f>
        <v>0</v>
      </c>
    </row>
    <row r="236" spans="1:4" x14ac:dyDescent="0.25">
      <c r="A236" s="1">
        <f>IF(Param!$B$9=1,DbExcel!A236,DbWservice!A236)</f>
        <v>0</v>
      </c>
      <c r="B236" s="1">
        <f>IF(Param!$B$9=1,DbExcel!B236,DbWservice!B236)</f>
        <v>0</v>
      </c>
      <c r="C236" s="1">
        <f>IF(Param!$B$9=1,DbExcel!C236,DbWservice!C236)</f>
        <v>0</v>
      </c>
      <c r="D236" s="1">
        <f>IF(Param!$B$9=1,DbExcel!D236,DbWservice!D236)</f>
        <v>0</v>
      </c>
    </row>
    <row r="237" spans="1:4" x14ac:dyDescent="0.25">
      <c r="A237" s="1">
        <f>IF(Param!$B$9=1,DbExcel!A237,DbWservice!A237)</f>
        <v>0</v>
      </c>
      <c r="B237" s="1">
        <f>IF(Param!$B$9=1,DbExcel!B237,DbWservice!B237)</f>
        <v>0</v>
      </c>
      <c r="C237" s="1">
        <f>IF(Param!$B$9=1,DbExcel!C237,DbWservice!C237)</f>
        <v>0</v>
      </c>
      <c r="D237" s="1">
        <f>IF(Param!$B$9=1,DbExcel!D237,DbWservice!D237)</f>
        <v>0</v>
      </c>
    </row>
    <row r="238" spans="1:4" x14ac:dyDescent="0.25">
      <c r="A238" s="1">
        <f>IF(Param!$B$9=1,DbExcel!A238,DbWservice!A238)</f>
        <v>0</v>
      </c>
      <c r="B238" s="1">
        <f>IF(Param!$B$9=1,DbExcel!B238,DbWservice!B238)</f>
        <v>0</v>
      </c>
      <c r="C238" s="1">
        <f>IF(Param!$B$9=1,DbExcel!C238,DbWservice!C238)</f>
        <v>0</v>
      </c>
      <c r="D238" s="1">
        <f>IF(Param!$B$9=1,DbExcel!D238,DbWservice!D238)</f>
        <v>0</v>
      </c>
    </row>
    <row r="239" spans="1:4" x14ac:dyDescent="0.25">
      <c r="A239" s="1">
        <f>IF(Param!$B$9=1,DbExcel!A239,DbWservice!A239)</f>
        <v>0</v>
      </c>
      <c r="B239" s="1">
        <f>IF(Param!$B$9=1,DbExcel!B239,DbWservice!B239)</f>
        <v>0</v>
      </c>
      <c r="C239" s="1">
        <f>IF(Param!$B$9=1,DbExcel!C239,DbWservice!C239)</f>
        <v>0</v>
      </c>
      <c r="D239" s="1">
        <f>IF(Param!$B$9=1,DbExcel!D239,DbWservice!D239)</f>
        <v>0</v>
      </c>
    </row>
    <row r="240" spans="1:4" x14ac:dyDescent="0.25">
      <c r="A240" s="1">
        <f>IF(Param!$B$9=1,DbExcel!A240,DbWservice!A240)</f>
        <v>0</v>
      </c>
      <c r="B240" s="1">
        <f>IF(Param!$B$9=1,DbExcel!B240,DbWservice!B240)</f>
        <v>0</v>
      </c>
      <c r="C240" s="1">
        <f>IF(Param!$B$9=1,DbExcel!C240,DbWservice!C240)</f>
        <v>0</v>
      </c>
      <c r="D240" s="1">
        <f>IF(Param!$B$9=1,DbExcel!D240,DbWservice!D240)</f>
        <v>0</v>
      </c>
    </row>
    <row r="241" spans="1:4" x14ac:dyDescent="0.25">
      <c r="A241" s="1">
        <f>IF(Param!$B$9=1,DbExcel!A241,DbWservice!A241)</f>
        <v>0</v>
      </c>
      <c r="B241" s="1">
        <f>IF(Param!$B$9=1,DbExcel!B241,DbWservice!B241)</f>
        <v>0</v>
      </c>
      <c r="C241" s="1">
        <f>IF(Param!$B$9=1,DbExcel!C241,DbWservice!C241)</f>
        <v>0</v>
      </c>
      <c r="D241" s="1">
        <f>IF(Param!$B$9=1,DbExcel!D241,DbWservice!D241)</f>
        <v>0</v>
      </c>
    </row>
    <row r="242" spans="1:4" x14ac:dyDescent="0.25">
      <c r="A242" s="1">
        <f>IF(Param!$B$9=1,DbExcel!A242,DbWservice!A242)</f>
        <v>0</v>
      </c>
      <c r="B242" s="1">
        <f>IF(Param!$B$9=1,DbExcel!B242,DbWservice!B242)</f>
        <v>0</v>
      </c>
      <c r="C242" s="1">
        <f>IF(Param!$B$9=1,DbExcel!C242,DbWservice!C242)</f>
        <v>0</v>
      </c>
      <c r="D242" s="1">
        <f>IF(Param!$B$9=1,DbExcel!D242,DbWservice!D242)</f>
        <v>0</v>
      </c>
    </row>
    <row r="243" spans="1:4" x14ac:dyDescent="0.25">
      <c r="A243" s="1">
        <f>IF(Param!$B$9=1,DbExcel!A243,DbWservice!A243)</f>
        <v>0</v>
      </c>
      <c r="B243" s="1">
        <f>IF(Param!$B$9=1,DbExcel!B243,DbWservice!B243)</f>
        <v>0</v>
      </c>
      <c r="C243" s="1">
        <f>IF(Param!$B$9=1,DbExcel!C243,DbWservice!C243)</f>
        <v>0</v>
      </c>
      <c r="D243" s="1">
        <f>IF(Param!$B$9=1,DbExcel!D243,DbWservice!D243)</f>
        <v>0</v>
      </c>
    </row>
    <row r="244" spans="1:4" x14ac:dyDescent="0.25">
      <c r="A244" s="1">
        <f>IF(Param!$B$9=1,DbExcel!A244,DbWservice!A244)</f>
        <v>0</v>
      </c>
      <c r="B244" s="1">
        <f>IF(Param!$B$9=1,DbExcel!B244,DbWservice!B244)</f>
        <v>0</v>
      </c>
      <c r="C244" s="1">
        <f>IF(Param!$B$9=1,DbExcel!C244,DbWservice!C244)</f>
        <v>0</v>
      </c>
      <c r="D244" s="1">
        <f>IF(Param!$B$9=1,DbExcel!D244,DbWservice!D244)</f>
        <v>0</v>
      </c>
    </row>
    <row r="245" spans="1:4" x14ac:dyDescent="0.25">
      <c r="A245" s="1">
        <f>IF(Param!$B$9=1,DbExcel!A245,DbWservice!A245)</f>
        <v>0</v>
      </c>
      <c r="B245" s="1">
        <f>IF(Param!$B$9=1,DbExcel!B245,DbWservice!B245)</f>
        <v>0</v>
      </c>
      <c r="C245" s="1">
        <f>IF(Param!$B$9=1,DbExcel!C245,DbWservice!C245)</f>
        <v>0</v>
      </c>
      <c r="D245" s="1">
        <f>IF(Param!$B$9=1,DbExcel!D245,DbWservice!D245)</f>
        <v>0</v>
      </c>
    </row>
    <row r="246" spans="1:4" x14ac:dyDescent="0.25">
      <c r="A246" s="1">
        <f>IF(Param!$B$9=1,DbExcel!A246,DbWservice!A246)</f>
        <v>0</v>
      </c>
      <c r="B246" s="1">
        <f>IF(Param!$B$9=1,DbExcel!B246,DbWservice!B246)</f>
        <v>0</v>
      </c>
      <c r="C246" s="1">
        <f>IF(Param!$B$9=1,DbExcel!C246,DbWservice!C246)</f>
        <v>0</v>
      </c>
      <c r="D246" s="1">
        <f>IF(Param!$B$9=1,DbExcel!D246,DbWservice!D246)</f>
        <v>0</v>
      </c>
    </row>
    <row r="247" spans="1:4" x14ac:dyDescent="0.25">
      <c r="A247" s="1">
        <f>IF(Param!$B$9=1,DbExcel!A247,DbWservice!A247)</f>
        <v>0</v>
      </c>
      <c r="B247" s="1">
        <f>IF(Param!$B$9=1,DbExcel!B247,DbWservice!B247)</f>
        <v>0</v>
      </c>
      <c r="C247" s="1">
        <f>IF(Param!$B$9=1,DbExcel!C247,DbWservice!C247)</f>
        <v>0</v>
      </c>
      <c r="D247" s="1">
        <f>IF(Param!$B$9=1,DbExcel!D247,DbWservice!D247)</f>
        <v>0</v>
      </c>
    </row>
    <row r="248" spans="1:4" x14ac:dyDescent="0.25">
      <c r="A248" s="1">
        <f>IF(Param!$B$9=1,DbExcel!A248,DbWservice!A248)</f>
        <v>0</v>
      </c>
      <c r="B248" s="1">
        <f>IF(Param!$B$9=1,DbExcel!B248,DbWservice!B248)</f>
        <v>0</v>
      </c>
      <c r="C248" s="1">
        <f>IF(Param!$B$9=1,DbExcel!C248,DbWservice!C248)</f>
        <v>0</v>
      </c>
      <c r="D248" s="1">
        <f>IF(Param!$B$9=1,DbExcel!D248,DbWservice!D248)</f>
        <v>0</v>
      </c>
    </row>
    <row r="249" spans="1:4" x14ac:dyDescent="0.25">
      <c r="A249" s="1">
        <f>IF(Param!$B$9=1,DbExcel!A249,DbWservice!A249)</f>
        <v>0</v>
      </c>
      <c r="B249" s="1">
        <f>IF(Param!$B$9=1,DbExcel!B249,DbWservice!B249)</f>
        <v>0</v>
      </c>
      <c r="C249" s="1">
        <f>IF(Param!$B$9=1,DbExcel!C249,DbWservice!C249)</f>
        <v>0</v>
      </c>
      <c r="D249" s="1">
        <f>IF(Param!$B$9=1,DbExcel!D249,DbWservice!D249)</f>
        <v>0</v>
      </c>
    </row>
    <row r="250" spans="1:4" x14ac:dyDescent="0.25">
      <c r="A250" s="1">
        <f>IF(Param!$B$9=1,DbExcel!A250,DbWservice!A250)</f>
        <v>0</v>
      </c>
      <c r="B250" s="1">
        <f>IF(Param!$B$9=1,DbExcel!B250,DbWservice!B250)</f>
        <v>0</v>
      </c>
      <c r="C250" s="1">
        <f>IF(Param!$B$9=1,DbExcel!C250,DbWservice!C250)</f>
        <v>0</v>
      </c>
      <c r="D250" s="1">
        <f>IF(Param!$B$9=1,DbExcel!D250,DbWservice!D250)</f>
        <v>0</v>
      </c>
    </row>
    <row r="251" spans="1:4" x14ac:dyDescent="0.25">
      <c r="A251" s="1">
        <f>IF(Param!$B$9=1,DbExcel!A251,DbWservice!A251)</f>
        <v>0</v>
      </c>
      <c r="B251" s="1">
        <f>IF(Param!$B$9=1,DbExcel!B251,DbWservice!B251)</f>
        <v>0</v>
      </c>
      <c r="C251" s="1">
        <f>IF(Param!$B$9=1,DbExcel!C251,DbWservice!C251)</f>
        <v>0</v>
      </c>
      <c r="D251" s="1">
        <f>IF(Param!$B$9=1,DbExcel!D251,DbWservice!D251)</f>
        <v>0</v>
      </c>
    </row>
    <row r="252" spans="1:4" x14ac:dyDescent="0.25">
      <c r="A252" s="1">
        <f>IF(Param!$B$9=1,DbExcel!A252,DbWservice!A252)</f>
        <v>0</v>
      </c>
      <c r="B252" s="1">
        <f>IF(Param!$B$9=1,DbExcel!B252,DbWservice!B252)</f>
        <v>0</v>
      </c>
      <c r="C252" s="1">
        <f>IF(Param!$B$9=1,DbExcel!C252,DbWservice!C252)</f>
        <v>0</v>
      </c>
      <c r="D252" s="1">
        <f>IF(Param!$B$9=1,DbExcel!D252,DbWservice!D252)</f>
        <v>0</v>
      </c>
    </row>
    <row r="253" spans="1:4" x14ac:dyDescent="0.25">
      <c r="A253" s="1">
        <f>IF(Param!$B$9=1,DbExcel!A253,DbWservice!A253)</f>
        <v>0</v>
      </c>
      <c r="B253" s="1">
        <f>IF(Param!$B$9=1,DbExcel!B253,DbWservice!B253)</f>
        <v>0</v>
      </c>
      <c r="C253" s="1">
        <f>IF(Param!$B$9=1,DbExcel!C253,DbWservice!C253)</f>
        <v>0</v>
      </c>
      <c r="D253" s="1">
        <f>IF(Param!$B$9=1,DbExcel!D253,DbWservice!D253)</f>
        <v>0</v>
      </c>
    </row>
    <row r="254" spans="1:4" x14ac:dyDescent="0.25">
      <c r="A254" s="1">
        <f>IF(Param!$B$9=1,DbExcel!A254,DbWservice!A254)</f>
        <v>0</v>
      </c>
      <c r="B254" s="1">
        <f>IF(Param!$B$9=1,DbExcel!B254,DbWservice!B254)</f>
        <v>0</v>
      </c>
      <c r="C254" s="1">
        <f>IF(Param!$B$9=1,DbExcel!C254,DbWservice!C254)</f>
        <v>0</v>
      </c>
      <c r="D254" s="1">
        <f>IF(Param!$B$9=1,DbExcel!D254,DbWservice!D254)</f>
        <v>0</v>
      </c>
    </row>
    <row r="255" spans="1:4" x14ac:dyDescent="0.25">
      <c r="A255" s="1">
        <f>IF(Param!$B$9=1,DbExcel!A255,DbWservice!A255)</f>
        <v>0</v>
      </c>
      <c r="B255" s="1">
        <f>IF(Param!$B$9=1,DbExcel!B255,DbWservice!B255)</f>
        <v>0</v>
      </c>
      <c r="C255" s="1">
        <f>IF(Param!$B$9=1,DbExcel!C255,DbWservice!C255)</f>
        <v>0</v>
      </c>
      <c r="D255" s="1">
        <f>IF(Param!$B$9=1,DbExcel!D255,DbWservice!D255)</f>
        <v>0</v>
      </c>
    </row>
    <row r="256" spans="1:4" x14ac:dyDescent="0.25">
      <c r="A256" s="1">
        <f>IF(Param!$B$9=1,DbExcel!A256,DbWservice!A256)</f>
        <v>0</v>
      </c>
      <c r="B256" s="1">
        <f>IF(Param!$B$9=1,DbExcel!B256,DbWservice!B256)</f>
        <v>0</v>
      </c>
      <c r="C256" s="1">
        <f>IF(Param!$B$9=1,DbExcel!C256,DbWservice!C256)</f>
        <v>0</v>
      </c>
      <c r="D256" s="1">
        <f>IF(Param!$B$9=1,DbExcel!D256,DbWservice!D256)</f>
        <v>0</v>
      </c>
    </row>
    <row r="257" spans="1:4" x14ac:dyDescent="0.25">
      <c r="A257" s="1">
        <f>IF(Param!$B$9=1,DbExcel!A257,DbWservice!A257)</f>
        <v>0</v>
      </c>
      <c r="B257" s="1">
        <f>IF(Param!$B$9=1,DbExcel!B257,DbWservice!B257)</f>
        <v>0</v>
      </c>
      <c r="C257" s="1">
        <f>IF(Param!$B$9=1,DbExcel!C257,DbWservice!C257)</f>
        <v>0</v>
      </c>
      <c r="D257" s="1">
        <f>IF(Param!$B$9=1,DbExcel!D257,DbWservice!D257)</f>
        <v>0</v>
      </c>
    </row>
    <row r="258" spans="1:4" x14ac:dyDescent="0.25">
      <c r="A258" s="1">
        <f>IF(Param!$B$9=1,DbExcel!A258,DbWservice!A258)</f>
        <v>0</v>
      </c>
      <c r="B258" s="1">
        <f>IF(Param!$B$9=1,DbExcel!B258,DbWservice!B258)</f>
        <v>0</v>
      </c>
      <c r="C258" s="1">
        <f>IF(Param!$B$9=1,DbExcel!C258,DbWservice!C258)</f>
        <v>0</v>
      </c>
      <c r="D258" s="1">
        <f>IF(Param!$B$9=1,DbExcel!D258,DbWservice!D258)</f>
        <v>0</v>
      </c>
    </row>
    <row r="259" spans="1:4" x14ac:dyDescent="0.25">
      <c r="A259" s="1">
        <f>IF(Param!$B$9=1,DbExcel!A259,DbWservice!A259)</f>
        <v>0</v>
      </c>
      <c r="B259" s="1">
        <f>IF(Param!$B$9=1,DbExcel!B259,DbWservice!B259)</f>
        <v>0</v>
      </c>
      <c r="C259" s="1">
        <f>IF(Param!$B$9=1,DbExcel!C259,DbWservice!C259)</f>
        <v>0</v>
      </c>
      <c r="D259" s="1">
        <f>IF(Param!$B$9=1,DbExcel!D259,DbWservice!D259)</f>
        <v>0</v>
      </c>
    </row>
    <row r="260" spans="1:4" x14ac:dyDescent="0.25">
      <c r="A260" s="1">
        <f>IF(Param!$B$9=1,DbExcel!A260,DbWservice!A260)</f>
        <v>0</v>
      </c>
      <c r="B260" s="1">
        <f>IF(Param!$B$9=1,DbExcel!B260,DbWservice!B260)</f>
        <v>0</v>
      </c>
      <c r="C260" s="1">
        <f>IF(Param!$B$9=1,DbExcel!C260,DbWservice!C260)</f>
        <v>0</v>
      </c>
      <c r="D260" s="1">
        <f>IF(Param!$B$9=1,DbExcel!D260,DbWservice!D260)</f>
        <v>0</v>
      </c>
    </row>
    <row r="261" spans="1:4" x14ac:dyDescent="0.25">
      <c r="A261" s="1">
        <f>IF(Param!$B$9=1,DbExcel!A261,DbWservice!A261)</f>
        <v>0</v>
      </c>
      <c r="B261" s="1">
        <f>IF(Param!$B$9=1,DbExcel!B261,DbWservice!B261)</f>
        <v>0</v>
      </c>
      <c r="C261" s="1">
        <f>IF(Param!$B$9=1,DbExcel!C261,DbWservice!C261)</f>
        <v>0</v>
      </c>
      <c r="D261" s="1">
        <f>IF(Param!$B$9=1,DbExcel!D261,DbWservice!D261)</f>
        <v>0</v>
      </c>
    </row>
    <row r="262" spans="1:4" x14ac:dyDescent="0.25">
      <c r="A262" s="1">
        <f>IF(Param!$B$9=1,DbExcel!A262,DbWservice!A262)</f>
        <v>0</v>
      </c>
      <c r="B262" s="1">
        <f>IF(Param!$B$9=1,DbExcel!B262,DbWservice!B262)</f>
        <v>0</v>
      </c>
      <c r="C262" s="1">
        <f>IF(Param!$B$9=1,DbExcel!C262,DbWservice!C262)</f>
        <v>0</v>
      </c>
      <c r="D262" s="1">
        <f>IF(Param!$B$9=1,DbExcel!D262,DbWservice!D262)</f>
        <v>0</v>
      </c>
    </row>
    <row r="263" spans="1:4" x14ac:dyDescent="0.25">
      <c r="A263" s="1">
        <f>IF(Param!$B$9=1,DbExcel!A263,DbWservice!A263)</f>
        <v>0</v>
      </c>
      <c r="B263" s="1">
        <f>IF(Param!$B$9=1,DbExcel!B263,DbWservice!B263)</f>
        <v>0</v>
      </c>
      <c r="C263" s="1">
        <f>IF(Param!$B$9=1,DbExcel!C263,DbWservice!C263)</f>
        <v>0</v>
      </c>
      <c r="D263" s="1">
        <f>IF(Param!$B$9=1,DbExcel!D263,DbWservice!D263)</f>
        <v>0</v>
      </c>
    </row>
    <row r="264" spans="1:4" x14ac:dyDescent="0.25">
      <c r="A264" s="1">
        <f>IF(Param!$B$9=1,DbExcel!A264,DbWservice!A264)</f>
        <v>0</v>
      </c>
      <c r="B264" s="1">
        <f>IF(Param!$B$9=1,DbExcel!B264,DbWservice!B264)</f>
        <v>0</v>
      </c>
      <c r="C264" s="1">
        <f>IF(Param!$B$9=1,DbExcel!C264,DbWservice!C264)</f>
        <v>0</v>
      </c>
      <c r="D264" s="1">
        <f>IF(Param!$B$9=1,DbExcel!D264,DbWservice!D264)</f>
        <v>0</v>
      </c>
    </row>
    <row r="265" spans="1:4" x14ac:dyDescent="0.25">
      <c r="A265" s="1">
        <f>IF(Param!$B$9=1,DbExcel!A265,DbWservice!A265)</f>
        <v>0</v>
      </c>
      <c r="B265" s="1">
        <f>IF(Param!$B$9=1,DbExcel!B265,DbWservice!B265)</f>
        <v>0</v>
      </c>
      <c r="C265" s="1">
        <f>IF(Param!$B$9=1,DbExcel!C265,DbWservice!C265)</f>
        <v>0</v>
      </c>
      <c r="D265" s="1">
        <f>IF(Param!$B$9=1,DbExcel!D265,DbWservice!D265)</f>
        <v>0</v>
      </c>
    </row>
    <row r="266" spans="1:4" x14ac:dyDescent="0.25">
      <c r="A266" s="1">
        <f>IF(Param!$B$9=1,DbExcel!A266,DbWservice!A266)</f>
        <v>0</v>
      </c>
      <c r="B266" s="1">
        <f>IF(Param!$B$9=1,DbExcel!B266,DbWservice!B266)</f>
        <v>0</v>
      </c>
      <c r="C266" s="1">
        <f>IF(Param!$B$9=1,DbExcel!C266,DbWservice!C266)</f>
        <v>0</v>
      </c>
      <c r="D266" s="1">
        <f>IF(Param!$B$9=1,DbExcel!D266,DbWservice!D266)</f>
        <v>0</v>
      </c>
    </row>
    <row r="267" spans="1:4" x14ac:dyDescent="0.25">
      <c r="A267" s="1">
        <f>IF(Param!$B$9=1,DbExcel!A267,DbWservice!A267)</f>
        <v>0</v>
      </c>
      <c r="B267" s="1">
        <f>IF(Param!$B$9=1,DbExcel!B267,DbWservice!B267)</f>
        <v>0</v>
      </c>
      <c r="C267" s="1">
        <f>IF(Param!$B$9=1,DbExcel!C267,DbWservice!C267)</f>
        <v>0</v>
      </c>
      <c r="D267" s="1">
        <f>IF(Param!$B$9=1,DbExcel!D267,DbWservice!D267)</f>
        <v>0</v>
      </c>
    </row>
    <row r="268" spans="1:4" x14ac:dyDescent="0.25">
      <c r="A268" s="1">
        <f>IF(Param!$B$9=1,DbExcel!A268,DbWservice!A268)</f>
        <v>0</v>
      </c>
      <c r="B268" s="1">
        <f>IF(Param!$B$9=1,DbExcel!B268,DbWservice!B268)</f>
        <v>0</v>
      </c>
      <c r="C268" s="1">
        <f>IF(Param!$B$9=1,DbExcel!C268,DbWservice!C268)</f>
        <v>0</v>
      </c>
      <c r="D268" s="1">
        <f>IF(Param!$B$9=1,DbExcel!D268,DbWservice!D268)</f>
        <v>0</v>
      </c>
    </row>
    <row r="269" spans="1:4" x14ac:dyDescent="0.25">
      <c r="A269" s="1">
        <f>IF(Param!$B$9=1,DbExcel!A269,DbWservice!A269)</f>
        <v>0</v>
      </c>
      <c r="B269" s="1">
        <f>IF(Param!$B$9=1,DbExcel!B269,DbWservice!B269)</f>
        <v>0</v>
      </c>
      <c r="C269" s="1">
        <f>IF(Param!$B$9=1,DbExcel!C269,DbWservice!C269)</f>
        <v>0</v>
      </c>
      <c r="D269" s="1">
        <f>IF(Param!$B$9=1,DbExcel!D269,DbWservice!D269)</f>
        <v>0</v>
      </c>
    </row>
    <row r="270" spans="1:4" x14ac:dyDescent="0.25">
      <c r="A270" s="1">
        <f>IF(Param!$B$9=1,DbExcel!A270,DbWservice!A270)</f>
        <v>0</v>
      </c>
      <c r="B270" s="1">
        <f>IF(Param!$B$9=1,DbExcel!B270,DbWservice!B270)</f>
        <v>0</v>
      </c>
      <c r="C270" s="1">
        <f>IF(Param!$B$9=1,DbExcel!C270,DbWservice!C270)</f>
        <v>0</v>
      </c>
      <c r="D270" s="1">
        <f>IF(Param!$B$9=1,DbExcel!D270,DbWservice!D270)</f>
        <v>0</v>
      </c>
    </row>
    <row r="271" spans="1:4" x14ac:dyDescent="0.25">
      <c r="A271" s="1">
        <f>IF(Param!$B$9=1,DbExcel!A271,DbWservice!A271)</f>
        <v>0</v>
      </c>
      <c r="B271" s="1">
        <f>IF(Param!$B$9=1,DbExcel!B271,DbWservice!B271)</f>
        <v>0</v>
      </c>
      <c r="C271" s="1">
        <f>IF(Param!$B$9=1,DbExcel!C271,DbWservice!C271)</f>
        <v>0</v>
      </c>
      <c r="D271" s="1">
        <f>IF(Param!$B$9=1,DbExcel!D271,DbWservice!D271)</f>
        <v>0</v>
      </c>
    </row>
    <row r="272" spans="1:4" x14ac:dyDescent="0.25">
      <c r="A272" s="1">
        <f>IF(Param!$B$9=1,DbExcel!A272,DbWservice!A272)</f>
        <v>0</v>
      </c>
      <c r="B272" s="1">
        <f>IF(Param!$B$9=1,DbExcel!B272,DbWservice!B272)</f>
        <v>0</v>
      </c>
      <c r="C272" s="1">
        <f>IF(Param!$B$9=1,DbExcel!C272,DbWservice!C272)</f>
        <v>0</v>
      </c>
      <c r="D272" s="1">
        <f>IF(Param!$B$9=1,DbExcel!D272,DbWservice!D272)</f>
        <v>0</v>
      </c>
    </row>
    <row r="273" spans="1:4" x14ac:dyDescent="0.25">
      <c r="A273" s="1">
        <f>IF(Param!$B$9=1,DbExcel!A273,DbWservice!A273)</f>
        <v>0</v>
      </c>
      <c r="B273" s="1">
        <f>IF(Param!$B$9=1,DbExcel!B273,DbWservice!B273)</f>
        <v>0</v>
      </c>
      <c r="C273" s="1">
        <f>IF(Param!$B$9=1,DbExcel!C273,DbWservice!C273)</f>
        <v>0</v>
      </c>
      <c r="D273" s="1">
        <f>IF(Param!$B$9=1,DbExcel!D273,DbWservice!D273)</f>
        <v>0</v>
      </c>
    </row>
    <row r="274" spans="1:4" x14ac:dyDescent="0.25">
      <c r="A274" s="1">
        <f>IF(Param!$B$9=1,DbExcel!A274,DbWservice!A274)</f>
        <v>0</v>
      </c>
      <c r="B274" s="1">
        <f>IF(Param!$B$9=1,DbExcel!B274,DbWservice!B274)</f>
        <v>0</v>
      </c>
      <c r="C274" s="1">
        <f>IF(Param!$B$9=1,DbExcel!C274,DbWservice!C274)</f>
        <v>0</v>
      </c>
      <c r="D274" s="1">
        <f>IF(Param!$B$9=1,DbExcel!D274,DbWservice!D274)</f>
        <v>0</v>
      </c>
    </row>
    <row r="275" spans="1:4" x14ac:dyDescent="0.25">
      <c r="A275" s="1">
        <f>IF(Param!$B$9=1,DbExcel!A275,DbWservice!A275)</f>
        <v>0</v>
      </c>
      <c r="B275" s="1">
        <f>IF(Param!$B$9=1,DbExcel!B275,DbWservice!B275)</f>
        <v>0</v>
      </c>
      <c r="C275" s="1">
        <f>IF(Param!$B$9=1,DbExcel!C275,DbWservice!C275)</f>
        <v>0</v>
      </c>
      <c r="D275" s="1">
        <f>IF(Param!$B$9=1,DbExcel!D275,DbWservice!D275)</f>
        <v>0</v>
      </c>
    </row>
    <row r="276" spans="1:4" x14ac:dyDescent="0.25">
      <c r="A276" s="1">
        <f>IF(Param!$B$9=1,DbExcel!A276,DbWservice!A276)</f>
        <v>0</v>
      </c>
      <c r="B276" s="1">
        <f>IF(Param!$B$9=1,DbExcel!B276,DbWservice!B276)</f>
        <v>0</v>
      </c>
      <c r="C276" s="1">
        <f>IF(Param!$B$9=1,DbExcel!C276,DbWservice!C276)</f>
        <v>0</v>
      </c>
      <c r="D276" s="1">
        <f>IF(Param!$B$9=1,DbExcel!D276,DbWservice!D276)</f>
        <v>0</v>
      </c>
    </row>
    <row r="277" spans="1:4" x14ac:dyDescent="0.25">
      <c r="A277" s="1">
        <f>IF(Param!$B$9=1,DbExcel!A277,DbWservice!A277)</f>
        <v>0</v>
      </c>
      <c r="B277" s="1">
        <f>IF(Param!$B$9=1,DbExcel!B277,DbWservice!B277)</f>
        <v>0</v>
      </c>
      <c r="C277" s="1">
        <f>IF(Param!$B$9=1,DbExcel!C277,DbWservice!C277)</f>
        <v>0</v>
      </c>
      <c r="D277" s="1">
        <f>IF(Param!$B$9=1,DbExcel!D277,DbWservice!D277)</f>
        <v>0</v>
      </c>
    </row>
    <row r="278" spans="1:4" x14ac:dyDescent="0.25">
      <c r="A278" s="1">
        <f>IF(Param!$B$9=1,DbExcel!A278,DbWservice!A278)</f>
        <v>0</v>
      </c>
      <c r="B278" s="1">
        <f>IF(Param!$B$9=1,DbExcel!B278,DbWservice!B278)</f>
        <v>0</v>
      </c>
      <c r="C278" s="1">
        <f>IF(Param!$B$9=1,DbExcel!C278,DbWservice!C278)</f>
        <v>0</v>
      </c>
      <c r="D278" s="1">
        <f>IF(Param!$B$9=1,DbExcel!D278,DbWservice!D278)</f>
        <v>0</v>
      </c>
    </row>
    <row r="279" spans="1:4" x14ac:dyDescent="0.25">
      <c r="A279" s="1">
        <f>IF(Param!$B$9=1,DbExcel!A279,DbWservice!A279)</f>
        <v>0</v>
      </c>
      <c r="B279" s="1">
        <f>IF(Param!$B$9=1,DbExcel!B279,DbWservice!B279)</f>
        <v>0</v>
      </c>
      <c r="C279" s="1">
        <f>IF(Param!$B$9=1,DbExcel!C279,DbWservice!C279)</f>
        <v>0</v>
      </c>
      <c r="D279" s="1">
        <f>IF(Param!$B$9=1,DbExcel!D279,DbWservice!D279)</f>
        <v>0</v>
      </c>
    </row>
    <row r="280" spans="1:4" x14ac:dyDescent="0.25">
      <c r="A280" s="1">
        <f>IF(Param!$B$9=1,DbExcel!A280,DbWservice!A280)</f>
        <v>0</v>
      </c>
      <c r="B280" s="1">
        <f>IF(Param!$B$9=1,DbExcel!B280,DbWservice!B280)</f>
        <v>0</v>
      </c>
      <c r="C280" s="1">
        <f>IF(Param!$B$9=1,DbExcel!C280,DbWservice!C280)</f>
        <v>0</v>
      </c>
      <c r="D280" s="1">
        <f>IF(Param!$B$9=1,DbExcel!D280,DbWservice!D280)</f>
        <v>0</v>
      </c>
    </row>
    <row r="281" spans="1:4" x14ac:dyDescent="0.25">
      <c r="A281" s="1">
        <f>IF(Param!$B$9=1,DbExcel!A281,DbWservice!A281)</f>
        <v>0</v>
      </c>
      <c r="B281" s="1">
        <f>IF(Param!$B$9=1,DbExcel!B281,DbWservice!B281)</f>
        <v>0</v>
      </c>
      <c r="C281" s="1">
        <f>IF(Param!$B$9=1,DbExcel!C281,DbWservice!C281)</f>
        <v>0</v>
      </c>
      <c r="D281" s="1">
        <f>IF(Param!$B$9=1,DbExcel!D281,DbWservice!D281)</f>
        <v>0</v>
      </c>
    </row>
    <row r="282" spans="1:4" x14ac:dyDescent="0.25">
      <c r="A282" s="1">
        <f>IF(Param!$B$9=1,DbExcel!A282,DbWservice!A282)</f>
        <v>0</v>
      </c>
      <c r="B282" s="1">
        <f>IF(Param!$B$9=1,DbExcel!B282,DbWservice!B282)</f>
        <v>0</v>
      </c>
      <c r="C282" s="1">
        <f>IF(Param!$B$9=1,DbExcel!C282,DbWservice!C282)</f>
        <v>0</v>
      </c>
      <c r="D282" s="1">
        <f>IF(Param!$B$9=1,DbExcel!D282,DbWservice!D282)</f>
        <v>0</v>
      </c>
    </row>
    <row r="283" spans="1:4" x14ac:dyDescent="0.25">
      <c r="A283" s="1">
        <f>IF(Param!$B$9=1,DbExcel!A283,DbWservice!A283)</f>
        <v>0</v>
      </c>
      <c r="B283" s="1">
        <f>IF(Param!$B$9=1,DbExcel!B283,DbWservice!B283)</f>
        <v>0</v>
      </c>
      <c r="C283" s="1">
        <f>IF(Param!$B$9=1,DbExcel!C283,DbWservice!C283)</f>
        <v>0</v>
      </c>
      <c r="D283" s="1">
        <f>IF(Param!$B$9=1,DbExcel!D283,DbWservice!D283)</f>
        <v>0</v>
      </c>
    </row>
    <row r="284" spans="1:4" x14ac:dyDescent="0.25">
      <c r="A284" s="1">
        <f>IF(Param!$B$9=1,DbExcel!A284,DbWservice!A284)</f>
        <v>0</v>
      </c>
      <c r="B284" s="1">
        <f>IF(Param!$B$9=1,DbExcel!B284,DbWservice!B284)</f>
        <v>0</v>
      </c>
      <c r="C284" s="1">
        <f>IF(Param!$B$9=1,DbExcel!C284,DbWservice!C284)</f>
        <v>0</v>
      </c>
      <c r="D284" s="1">
        <f>IF(Param!$B$9=1,DbExcel!D284,DbWservice!D284)</f>
        <v>0</v>
      </c>
    </row>
    <row r="285" spans="1:4" x14ac:dyDescent="0.25">
      <c r="A285" s="1">
        <f>IF(Param!$B$9=1,DbExcel!A285,DbWservice!A285)</f>
        <v>0</v>
      </c>
      <c r="B285" s="1">
        <f>IF(Param!$B$9=1,DbExcel!B285,DbWservice!B285)</f>
        <v>0</v>
      </c>
      <c r="C285" s="1">
        <f>IF(Param!$B$9=1,DbExcel!C285,DbWservice!C285)</f>
        <v>0</v>
      </c>
      <c r="D285" s="1">
        <f>IF(Param!$B$9=1,DbExcel!D285,DbWservice!D285)</f>
        <v>0</v>
      </c>
    </row>
    <row r="286" spans="1:4" x14ac:dyDescent="0.25">
      <c r="A286" s="1">
        <f>IF(Param!$B$9=1,DbExcel!A286,DbWservice!A286)</f>
        <v>0</v>
      </c>
      <c r="B286" s="1">
        <f>IF(Param!$B$9=1,DbExcel!B286,DbWservice!B286)</f>
        <v>0</v>
      </c>
      <c r="C286" s="1">
        <f>IF(Param!$B$9=1,DbExcel!C286,DbWservice!C286)</f>
        <v>0</v>
      </c>
      <c r="D286" s="1">
        <f>IF(Param!$B$9=1,DbExcel!D286,DbWservice!D286)</f>
        <v>0</v>
      </c>
    </row>
    <row r="287" spans="1:4" x14ac:dyDescent="0.25">
      <c r="A287" s="1">
        <f>IF(Param!$B$9=1,DbExcel!A287,DbWservice!A287)</f>
        <v>0</v>
      </c>
      <c r="B287" s="1">
        <f>IF(Param!$B$9=1,DbExcel!B287,DbWservice!B287)</f>
        <v>0</v>
      </c>
      <c r="C287" s="1">
        <f>IF(Param!$B$9=1,DbExcel!C287,DbWservice!C287)</f>
        <v>0</v>
      </c>
      <c r="D287" s="1">
        <f>IF(Param!$B$9=1,DbExcel!D287,DbWservice!D287)</f>
        <v>0</v>
      </c>
    </row>
    <row r="288" spans="1:4" x14ac:dyDescent="0.25">
      <c r="A288" s="1">
        <f>IF(Param!$B$9=1,DbExcel!A288,DbWservice!A288)</f>
        <v>0</v>
      </c>
      <c r="B288" s="1">
        <f>IF(Param!$B$9=1,DbExcel!B288,DbWservice!B288)</f>
        <v>0</v>
      </c>
      <c r="C288" s="1">
        <f>IF(Param!$B$9=1,DbExcel!C288,DbWservice!C288)</f>
        <v>0</v>
      </c>
      <c r="D288" s="1">
        <f>IF(Param!$B$9=1,DbExcel!D288,DbWservice!D288)</f>
        <v>0</v>
      </c>
    </row>
    <row r="289" spans="1:4" x14ac:dyDescent="0.25">
      <c r="A289" s="1">
        <f>IF(Param!$B$9=1,DbExcel!A289,DbWservice!A289)</f>
        <v>0</v>
      </c>
      <c r="B289" s="1">
        <f>IF(Param!$B$9=1,DbExcel!B289,DbWservice!B289)</f>
        <v>0</v>
      </c>
      <c r="C289" s="1">
        <f>IF(Param!$B$9=1,DbExcel!C289,DbWservice!C289)</f>
        <v>0</v>
      </c>
      <c r="D289" s="1">
        <f>IF(Param!$B$9=1,DbExcel!D289,DbWservice!D289)</f>
        <v>0</v>
      </c>
    </row>
    <row r="290" spans="1:4" x14ac:dyDescent="0.25">
      <c r="A290" s="1">
        <f>IF(Param!$B$9=1,DbExcel!A290,DbWservice!A290)</f>
        <v>0</v>
      </c>
      <c r="B290" s="1">
        <f>IF(Param!$B$9=1,DbExcel!B290,DbWservice!B290)</f>
        <v>0</v>
      </c>
      <c r="C290" s="1">
        <f>IF(Param!$B$9=1,DbExcel!C290,DbWservice!C290)</f>
        <v>0</v>
      </c>
      <c r="D290" s="1">
        <f>IF(Param!$B$9=1,DbExcel!D290,DbWservice!D290)</f>
        <v>0</v>
      </c>
    </row>
    <row r="291" spans="1:4" x14ac:dyDescent="0.25">
      <c r="A291" s="1">
        <f>IF(Param!$B$9=1,DbExcel!A291,DbWservice!A291)</f>
        <v>0</v>
      </c>
      <c r="B291" s="1">
        <f>IF(Param!$B$9=1,DbExcel!B291,DbWservice!B291)</f>
        <v>0</v>
      </c>
      <c r="C291" s="1">
        <f>IF(Param!$B$9=1,DbExcel!C291,DbWservice!C291)</f>
        <v>0</v>
      </c>
      <c r="D291" s="1">
        <f>IF(Param!$B$9=1,DbExcel!D291,DbWservice!D291)</f>
        <v>0</v>
      </c>
    </row>
    <row r="292" spans="1:4" x14ac:dyDescent="0.25">
      <c r="A292" s="1">
        <f>IF(Param!$B$9=1,DbExcel!A292,DbWservice!A292)</f>
        <v>0</v>
      </c>
      <c r="B292" s="1">
        <f>IF(Param!$B$9=1,DbExcel!B292,DbWservice!B292)</f>
        <v>0</v>
      </c>
      <c r="C292" s="1">
        <f>IF(Param!$B$9=1,DbExcel!C292,DbWservice!C292)</f>
        <v>0</v>
      </c>
      <c r="D292" s="1">
        <f>IF(Param!$B$9=1,DbExcel!D292,DbWservice!D292)</f>
        <v>0</v>
      </c>
    </row>
    <row r="293" spans="1:4" x14ac:dyDescent="0.25">
      <c r="A293" s="1">
        <f>IF(Param!$B$9=1,DbExcel!A293,DbWservice!A293)</f>
        <v>0</v>
      </c>
      <c r="B293" s="1">
        <f>IF(Param!$B$9=1,DbExcel!B293,DbWservice!B293)</f>
        <v>0</v>
      </c>
      <c r="C293" s="1">
        <f>IF(Param!$B$9=1,DbExcel!C293,DbWservice!C293)</f>
        <v>0</v>
      </c>
      <c r="D293" s="1">
        <f>IF(Param!$B$9=1,DbExcel!D293,DbWservice!D293)</f>
        <v>0</v>
      </c>
    </row>
    <row r="294" spans="1:4" x14ac:dyDescent="0.25">
      <c r="A294" s="1">
        <f>IF(Param!$B$9=1,DbExcel!A294,DbWservice!A294)</f>
        <v>0</v>
      </c>
      <c r="B294" s="1">
        <f>IF(Param!$B$9=1,DbExcel!B294,DbWservice!B294)</f>
        <v>0</v>
      </c>
      <c r="C294" s="1">
        <f>IF(Param!$B$9=1,DbExcel!C294,DbWservice!C294)</f>
        <v>0</v>
      </c>
      <c r="D294" s="1">
        <f>IF(Param!$B$9=1,DbExcel!D294,DbWservice!D294)</f>
        <v>0</v>
      </c>
    </row>
    <row r="295" spans="1:4" x14ac:dyDescent="0.25">
      <c r="A295" s="1">
        <f>IF(Param!$B$9=1,DbExcel!A295,DbWservice!A295)</f>
        <v>0</v>
      </c>
      <c r="B295" s="1">
        <f>IF(Param!$B$9=1,DbExcel!B295,DbWservice!B295)</f>
        <v>0</v>
      </c>
      <c r="C295" s="1">
        <f>IF(Param!$B$9=1,DbExcel!C295,DbWservice!C295)</f>
        <v>0</v>
      </c>
      <c r="D295" s="1">
        <f>IF(Param!$B$9=1,DbExcel!D295,DbWservice!D295)</f>
        <v>0</v>
      </c>
    </row>
    <row r="296" spans="1:4" x14ac:dyDescent="0.25">
      <c r="A296" s="1">
        <f>IF(Param!$B$9=1,DbExcel!A296,DbWservice!A296)</f>
        <v>0</v>
      </c>
      <c r="B296" s="1">
        <f>IF(Param!$B$9=1,DbExcel!B296,DbWservice!B296)</f>
        <v>0</v>
      </c>
      <c r="C296" s="1">
        <f>IF(Param!$B$9=1,DbExcel!C296,DbWservice!C296)</f>
        <v>0</v>
      </c>
      <c r="D296" s="1">
        <f>IF(Param!$B$9=1,DbExcel!D296,DbWservice!D296)</f>
        <v>0</v>
      </c>
    </row>
    <row r="297" spans="1:4" x14ac:dyDescent="0.25">
      <c r="A297" s="1">
        <f>IF(Param!$B$9=1,DbExcel!A297,DbWservice!A297)</f>
        <v>0</v>
      </c>
      <c r="B297" s="1">
        <f>IF(Param!$B$9=1,DbExcel!B297,DbWservice!B297)</f>
        <v>0</v>
      </c>
      <c r="C297" s="1">
        <f>IF(Param!$B$9=1,DbExcel!C297,DbWservice!C297)</f>
        <v>0</v>
      </c>
      <c r="D297" s="1">
        <f>IF(Param!$B$9=1,DbExcel!D297,DbWservice!D297)</f>
        <v>0</v>
      </c>
    </row>
    <row r="298" spans="1:4" x14ac:dyDescent="0.25">
      <c r="A298" s="1">
        <f>IF(Param!$B$9=1,DbExcel!A298,DbWservice!A298)</f>
        <v>0</v>
      </c>
      <c r="B298" s="1">
        <f>IF(Param!$B$9=1,DbExcel!B298,DbWservice!B298)</f>
        <v>0</v>
      </c>
      <c r="C298" s="1">
        <f>IF(Param!$B$9=1,DbExcel!C298,DbWservice!C298)</f>
        <v>0</v>
      </c>
      <c r="D298" s="1">
        <f>IF(Param!$B$9=1,DbExcel!D298,DbWservice!D298)</f>
        <v>0</v>
      </c>
    </row>
    <row r="299" spans="1:4" x14ac:dyDescent="0.25">
      <c r="A299" s="1">
        <f>IF(Param!$B$9=1,DbExcel!A299,DbWservice!A299)</f>
        <v>0</v>
      </c>
      <c r="B299" s="1">
        <f>IF(Param!$B$9=1,DbExcel!B299,DbWservice!B299)</f>
        <v>0</v>
      </c>
      <c r="C299" s="1">
        <f>IF(Param!$B$9=1,DbExcel!C299,DbWservice!C299)</f>
        <v>0</v>
      </c>
      <c r="D299" s="1">
        <f>IF(Param!$B$9=1,DbExcel!D299,DbWservice!D299)</f>
        <v>0</v>
      </c>
    </row>
    <row r="300" spans="1:4" x14ac:dyDescent="0.25">
      <c r="A300" s="1">
        <f>IF(Param!$B$9=1,DbExcel!A300,DbWservice!A300)</f>
        <v>0</v>
      </c>
      <c r="B300" s="1">
        <f>IF(Param!$B$9=1,DbExcel!B300,DbWservice!B300)</f>
        <v>0</v>
      </c>
      <c r="C300" s="1">
        <f>IF(Param!$B$9=1,DbExcel!C300,DbWservice!C300)</f>
        <v>0</v>
      </c>
      <c r="D300" s="1">
        <f>IF(Param!$B$9=1,DbExcel!D300,DbWservice!D300)</f>
        <v>0</v>
      </c>
    </row>
    <row r="301" spans="1:4" x14ac:dyDescent="0.25">
      <c r="A301" s="1">
        <f>IF(Param!$B$9=1,DbExcel!A301,DbWservice!A301)</f>
        <v>0</v>
      </c>
      <c r="B301" s="1">
        <f>IF(Param!$B$9=1,DbExcel!B301,DbWservice!B301)</f>
        <v>0</v>
      </c>
      <c r="C301" s="1">
        <f>IF(Param!$B$9=1,DbExcel!C301,DbWservice!C301)</f>
        <v>0</v>
      </c>
      <c r="D301" s="1">
        <f>IF(Param!$B$9=1,DbExcel!D301,DbWservice!D301)</f>
        <v>0</v>
      </c>
    </row>
    <row r="302" spans="1:4" x14ac:dyDescent="0.25">
      <c r="A302" s="1">
        <f>IF(Param!$B$9=1,DbExcel!A302,DbWservice!A302)</f>
        <v>0</v>
      </c>
      <c r="B302" s="1">
        <f>IF(Param!$B$9=1,DbExcel!B302,DbWservice!B302)</f>
        <v>0</v>
      </c>
      <c r="C302" s="1">
        <f>IF(Param!$B$9=1,DbExcel!C302,DbWservice!C302)</f>
        <v>0</v>
      </c>
      <c r="D302" s="1">
        <f>IF(Param!$B$9=1,DbExcel!D302,DbWservice!D302)</f>
        <v>0</v>
      </c>
    </row>
    <row r="303" spans="1:4" x14ac:dyDescent="0.25">
      <c r="A303" s="1">
        <f>IF(Param!$B$9=1,DbExcel!A303,DbWservice!A303)</f>
        <v>0</v>
      </c>
      <c r="B303" s="1">
        <f>IF(Param!$B$9=1,DbExcel!B303,DbWservice!B303)</f>
        <v>0</v>
      </c>
      <c r="C303" s="1">
        <f>IF(Param!$B$9=1,DbExcel!C303,DbWservice!C303)</f>
        <v>0</v>
      </c>
      <c r="D303" s="1">
        <f>IF(Param!$B$9=1,DbExcel!D303,DbWservice!D303)</f>
        <v>0</v>
      </c>
    </row>
    <row r="304" spans="1:4" x14ac:dyDescent="0.25">
      <c r="A304" s="1">
        <f>IF(Param!$B$9=1,DbExcel!A304,DbWservice!A304)</f>
        <v>0</v>
      </c>
      <c r="B304" s="1">
        <f>IF(Param!$B$9=1,DbExcel!B304,DbWservice!B304)</f>
        <v>0</v>
      </c>
      <c r="C304" s="1">
        <f>IF(Param!$B$9=1,DbExcel!C304,DbWservice!C304)</f>
        <v>0</v>
      </c>
      <c r="D304" s="1">
        <f>IF(Param!$B$9=1,DbExcel!D304,DbWservice!D304)</f>
        <v>0</v>
      </c>
    </row>
    <row r="305" spans="1:4" x14ac:dyDescent="0.25">
      <c r="A305" s="1">
        <f>IF(Param!$B$9=1,DbExcel!A305,DbWservice!A305)</f>
        <v>0</v>
      </c>
      <c r="B305" s="1">
        <f>IF(Param!$B$9=1,DbExcel!B305,DbWservice!B305)</f>
        <v>0</v>
      </c>
      <c r="C305" s="1">
        <f>IF(Param!$B$9=1,DbExcel!C305,DbWservice!C305)</f>
        <v>0</v>
      </c>
      <c r="D305" s="1">
        <f>IF(Param!$B$9=1,DbExcel!D305,DbWservice!D305)</f>
        <v>0</v>
      </c>
    </row>
    <row r="306" spans="1:4" x14ac:dyDescent="0.25">
      <c r="A306" s="1">
        <f>IF(Param!$B$9=1,DbExcel!A306,DbWservice!A306)</f>
        <v>0</v>
      </c>
      <c r="B306" s="1">
        <f>IF(Param!$B$9=1,DbExcel!B306,DbWservice!B306)</f>
        <v>0</v>
      </c>
      <c r="C306" s="1">
        <f>IF(Param!$B$9=1,DbExcel!C306,DbWservice!C306)</f>
        <v>0</v>
      </c>
      <c r="D306" s="1">
        <f>IF(Param!$B$9=1,DbExcel!D306,DbWservice!D306)</f>
        <v>0</v>
      </c>
    </row>
    <row r="307" spans="1:4" x14ac:dyDescent="0.25">
      <c r="A307" s="1">
        <f>IF(Param!$B$9=1,DbExcel!A307,DbWservice!A307)</f>
        <v>0</v>
      </c>
      <c r="B307" s="1">
        <f>IF(Param!$B$9=1,DbExcel!B307,DbWservice!B307)</f>
        <v>0</v>
      </c>
      <c r="C307" s="1">
        <f>IF(Param!$B$9=1,DbExcel!C307,DbWservice!C307)</f>
        <v>0</v>
      </c>
      <c r="D307" s="1">
        <f>IF(Param!$B$9=1,DbExcel!D307,DbWservice!D307)</f>
        <v>0</v>
      </c>
    </row>
    <row r="308" spans="1:4" x14ac:dyDescent="0.25">
      <c r="A308" s="1">
        <f>IF(Param!$B$9=1,DbExcel!A308,DbWservice!A308)</f>
        <v>0</v>
      </c>
      <c r="B308" s="1">
        <f>IF(Param!$B$9=1,DbExcel!B308,DbWservice!B308)</f>
        <v>0</v>
      </c>
      <c r="C308" s="1">
        <f>IF(Param!$B$9=1,DbExcel!C308,DbWservice!C308)</f>
        <v>0</v>
      </c>
      <c r="D308" s="1">
        <f>IF(Param!$B$9=1,DbExcel!D308,DbWservice!D308)</f>
        <v>0</v>
      </c>
    </row>
    <row r="309" spans="1:4" x14ac:dyDescent="0.25">
      <c r="A309" s="1">
        <f>IF(Param!$B$9=1,DbExcel!A309,DbWservice!A309)</f>
        <v>0</v>
      </c>
      <c r="B309" s="1">
        <f>IF(Param!$B$9=1,DbExcel!B309,DbWservice!B309)</f>
        <v>0</v>
      </c>
      <c r="C309" s="1">
        <f>IF(Param!$B$9=1,DbExcel!C309,DbWservice!C309)</f>
        <v>0</v>
      </c>
      <c r="D309" s="1">
        <f>IF(Param!$B$9=1,DbExcel!D309,DbWservice!D309)</f>
        <v>0</v>
      </c>
    </row>
    <row r="310" spans="1:4" x14ac:dyDescent="0.25">
      <c r="A310" s="1">
        <f>IF(Param!$B$9=1,DbExcel!A310,DbWservice!A310)</f>
        <v>0</v>
      </c>
      <c r="B310" s="1">
        <f>IF(Param!$B$9=1,DbExcel!B310,DbWservice!B310)</f>
        <v>0</v>
      </c>
      <c r="C310" s="1">
        <f>IF(Param!$B$9=1,DbExcel!C310,DbWservice!C310)</f>
        <v>0</v>
      </c>
      <c r="D310" s="1">
        <f>IF(Param!$B$9=1,DbExcel!D310,DbWservice!D310)</f>
        <v>0</v>
      </c>
    </row>
    <row r="311" spans="1:4" x14ac:dyDescent="0.25">
      <c r="A311" s="1">
        <f>IF(Param!$B$9=1,DbExcel!A311,DbWservice!A311)</f>
        <v>0</v>
      </c>
      <c r="B311" s="1">
        <f>IF(Param!$B$9=1,DbExcel!B311,DbWservice!B311)</f>
        <v>0</v>
      </c>
      <c r="C311" s="1">
        <f>IF(Param!$B$9=1,DbExcel!C311,DbWservice!C311)</f>
        <v>0</v>
      </c>
      <c r="D311" s="1">
        <f>IF(Param!$B$9=1,DbExcel!D311,DbWservice!D311)</f>
        <v>0</v>
      </c>
    </row>
    <row r="312" spans="1:4" x14ac:dyDescent="0.25">
      <c r="A312" s="1">
        <f>IF(Param!$B$9=1,DbExcel!A312,DbWservice!A312)</f>
        <v>0</v>
      </c>
      <c r="B312" s="1">
        <f>IF(Param!$B$9=1,DbExcel!B312,DbWservice!B312)</f>
        <v>0</v>
      </c>
      <c r="C312" s="1">
        <f>IF(Param!$B$9=1,DbExcel!C312,DbWservice!C312)</f>
        <v>0</v>
      </c>
      <c r="D312" s="1">
        <f>IF(Param!$B$9=1,DbExcel!D312,DbWservice!D312)</f>
        <v>0</v>
      </c>
    </row>
    <row r="313" spans="1:4" x14ac:dyDescent="0.25">
      <c r="A313" s="1">
        <f>IF(Param!$B$9=1,DbExcel!A313,DbWservice!A313)</f>
        <v>0</v>
      </c>
      <c r="B313" s="1">
        <f>IF(Param!$B$9=1,DbExcel!B313,DbWservice!B313)</f>
        <v>0</v>
      </c>
      <c r="C313" s="1">
        <f>IF(Param!$B$9=1,DbExcel!C313,DbWservice!C313)</f>
        <v>0</v>
      </c>
      <c r="D313" s="1">
        <f>IF(Param!$B$9=1,DbExcel!D313,DbWservice!D313)</f>
        <v>0</v>
      </c>
    </row>
    <row r="314" spans="1:4" x14ac:dyDescent="0.25">
      <c r="A314" s="1">
        <f>IF(Param!$B$9=1,DbExcel!A314,DbWservice!A314)</f>
        <v>0</v>
      </c>
      <c r="B314" s="1">
        <f>IF(Param!$B$9=1,DbExcel!B314,DbWservice!B314)</f>
        <v>0</v>
      </c>
      <c r="C314" s="1">
        <f>IF(Param!$B$9=1,DbExcel!C314,DbWservice!C314)</f>
        <v>0</v>
      </c>
      <c r="D314" s="1">
        <f>IF(Param!$B$9=1,DbExcel!D314,DbWservice!D314)</f>
        <v>0</v>
      </c>
    </row>
    <row r="315" spans="1:4" x14ac:dyDescent="0.25">
      <c r="A315" s="1">
        <f>IF(Param!$B$9=1,DbExcel!A315,DbWservice!A315)</f>
        <v>0</v>
      </c>
      <c r="B315" s="1">
        <f>IF(Param!$B$9=1,DbExcel!B315,DbWservice!B315)</f>
        <v>0</v>
      </c>
      <c r="C315" s="1">
        <f>IF(Param!$B$9=1,DbExcel!C315,DbWservice!C315)</f>
        <v>0</v>
      </c>
      <c r="D315" s="1">
        <f>IF(Param!$B$9=1,DbExcel!D315,DbWservice!D315)</f>
        <v>0</v>
      </c>
    </row>
    <row r="316" spans="1:4" x14ac:dyDescent="0.25">
      <c r="A316" s="1">
        <f>IF(Param!$B$9=1,DbExcel!A316,DbWservice!A316)</f>
        <v>0</v>
      </c>
      <c r="B316" s="1">
        <f>IF(Param!$B$9=1,DbExcel!B316,DbWservice!B316)</f>
        <v>0</v>
      </c>
      <c r="C316" s="1">
        <f>IF(Param!$B$9=1,DbExcel!C316,DbWservice!C316)</f>
        <v>0</v>
      </c>
      <c r="D316" s="1">
        <f>IF(Param!$B$9=1,DbExcel!D316,DbWservice!D316)</f>
        <v>0</v>
      </c>
    </row>
    <row r="317" spans="1:4" x14ac:dyDescent="0.25">
      <c r="A317" s="1">
        <f>IF(Param!$B$9=1,DbExcel!A317,DbWservice!A317)</f>
        <v>0</v>
      </c>
      <c r="B317" s="1">
        <f>IF(Param!$B$9=1,DbExcel!B317,DbWservice!B317)</f>
        <v>0</v>
      </c>
      <c r="C317" s="1">
        <f>IF(Param!$B$9=1,DbExcel!C317,DbWservice!C317)</f>
        <v>0</v>
      </c>
      <c r="D317" s="1">
        <f>IF(Param!$B$9=1,DbExcel!D317,DbWservice!D317)</f>
        <v>0</v>
      </c>
    </row>
    <row r="318" spans="1:4" x14ac:dyDescent="0.25">
      <c r="A318" s="1">
        <f>IF(Param!$B$9=1,DbExcel!A318,DbWservice!A318)</f>
        <v>0</v>
      </c>
      <c r="B318" s="1">
        <f>IF(Param!$B$9=1,DbExcel!B318,DbWservice!B318)</f>
        <v>0</v>
      </c>
      <c r="C318" s="1">
        <f>IF(Param!$B$9=1,DbExcel!C318,DbWservice!C318)</f>
        <v>0</v>
      </c>
      <c r="D318" s="1">
        <f>IF(Param!$B$9=1,DbExcel!D318,DbWservice!D318)</f>
        <v>0</v>
      </c>
    </row>
    <row r="319" spans="1:4" x14ac:dyDescent="0.25">
      <c r="A319" s="1">
        <f>IF(Param!$B$9=1,DbExcel!A319,DbWservice!A319)</f>
        <v>0</v>
      </c>
      <c r="B319" s="1">
        <f>IF(Param!$B$9=1,DbExcel!B319,DbWservice!B319)</f>
        <v>0</v>
      </c>
      <c r="C319" s="1">
        <f>IF(Param!$B$9=1,DbExcel!C319,DbWservice!C319)</f>
        <v>0</v>
      </c>
      <c r="D319" s="1">
        <f>IF(Param!$B$9=1,DbExcel!D319,DbWservice!D319)</f>
        <v>0</v>
      </c>
    </row>
    <row r="320" spans="1:4" x14ac:dyDescent="0.25">
      <c r="A320" s="1">
        <f>IF(Param!$B$9=1,DbExcel!A320,DbWservice!A320)</f>
        <v>0</v>
      </c>
      <c r="B320" s="1">
        <f>IF(Param!$B$9=1,DbExcel!B320,DbWservice!B320)</f>
        <v>0</v>
      </c>
      <c r="C320" s="1">
        <f>IF(Param!$B$9=1,DbExcel!C320,DbWservice!C320)</f>
        <v>0</v>
      </c>
      <c r="D320" s="1">
        <f>IF(Param!$B$9=1,DbExcel!D320,DbWservice!D320)</f>
        <v>0</v>
      </c>
    </row>
    <row r="321" spans="1:4" x14ac:dyDescent="0.25">
      <c r="A321" s="1">
        <f>IF(Param!$B$9=1,DbExcel!A321,DbWservice!A321)</f>
        <v>0</v>
      </c>
      <c r="B321" s="1">
        <f>IF(Param!$B$9=1,DbExcel!B321,DbWservice!B321)</f>
        <v>0</v>
      </c>
      <c r="C321" s="1">
        <f>IF(Param!$B$9=1,DbExcel!C321,DbWservice!C321)</f>
        <v>0</v>
      </c>
      <c r="D321" s="1">
        <f>IF(Param!$B$9=1,DbExcel!D321,DbWservice!D321)</f>
        <v>0</v>
      </c>
    </row>
    <row r="322" spans="1:4" x14ac:dyDescent="0.25">
      <c r="A322" s="1">
        <f>IF(Param!$B$9=1,DbExcel!A322,DbWservice!A322)</f>
        <v>0</v>
      </c>
      <c r="B322" s="1">
        <f>IF(Param!$B$9=1,DbExcel!B322,DbWservice!B322)</f>
        <v>0</v>
      </c>
      <c r="C322" s="1">
        <f>IF(Param!$B$9=1,DbExcel!C322,DbWservice!C322)</f>
        <v>0</v>
      </c>
      <c r="D322" s="1">
        <f>IF(Param!$B$9=1,DbExcel!D322,DbWservice!D322)</f>
        <v>0</v>
      </c>
    </row>
    <row r="323" spans="1:4" x14ac:dyDescent="0.25">
      <c r="A323" s="1">
        <f>IF(Param!$B$9=1,DbExcel!A323,DbWservice!A323)</f>
        <v>0</v>
      </c>
      <c r="B323" s="1">
        <f>IF(Param!$B$9=1,DbExcel!B323,DbWservice!B323)</f>
        <v>0</v>
      </c>
      <c r="C323" s="1">
        <f>IF(Param!$B$9=1,DbExcel!C323,DbWservice!C323)</f>
        <v>0</v>
      </c>
      <c r="D323" s="1">
        <f>IF(Param!$B$9=1,DbExcel!D323,DbWservice!D323)</f>
        <v>0</v>
      </c>
    </row>
    <row r="324" spans="1:4" x14ac:dyDescent="0.25">
      <c r="A324" s="1">
        <f>IF(Param!$B$9=1,DbExcel!A324,DbWservice!A324)</f>
        <v>0</v>
      </c>
      <c r="B324" s="1">
        <f>IF(Param!$B$9=1,DbExcel!B324,DbWservice!B324)</f>
        <v>0</v>
      </c>
      <c r="C324" s="1">
        <f>IF(Param!$B$9=1,DbExcel!C324,DbWservice!C324)</f>
        <v>0</v>
      </c>
      <c r="D324" s="1">
        <f>IF(Param!$B$9=1,DbExcel!D324,DbWservice!D324)</f>
        <v>0</v>
      </c>
    </row>
    <row r="325" spans="1:4" x14ac:dyDescent="0.25">
      <c r="A325" s="1">
        <f>IF(Param!$B$9=1,DbExcel!A325,DbWservice!A325)</f>
        <v>0</v>
      </c>
      <c r="B325" s="1">
        <f>IF(Param!$B$9=1,DbExcel!B325,DbWservice!B325)</f>
        <v>0</v>
      </c>
      <c r="C325" s="1">
        <f>IF(Param!$B$9=1,DbExcel!C325,DbWservice!C325)</f>
        <v>0</v>
      </c>
      <c r="D325" s="1">
        <f>IF(Param!$B$9=1,DbExcel!D325,DbWservice!D325)</f>
        <v>0</v>
      </c>
    </row>
    <row r="326" spans="1:4" x14ac:dyDescent="0.25">
      <c r="A326" s="1">
        <f>IF(Param!$B$9=1,DbExcel!A326,DbWservice!A326)</f>
        <v>0</v>
      </c>
      <c r="B326" s="1">
        <f>IF(Param!$B$9=1,DbExcel!B326,DbWservice!B326)</f>
        <v>0</v>
      </c>
      <c r="C326" s="1">
        <f>IF(Param!$B$9=1,DbExcel!C326,DbWservice!C326)</f>
        <v>0</v>
      </c>
      <c r="D326" s="1">
        <f>IF(Param!$B$9=1,DbExcel!D326,DbWservice!D326)</f>
        <v>0</v>
      </c>
    </row>
    <row r="327" spans="1:4" x14ac:dyDescent="0.25">
      <c r="A327" s="1">
        <f>IF(Param!$B$9=1,DbExcel!A327,DbWservice!A327)</f>
        <v>0</v>
      </c>
      <c r="B327" s="1">
        <f>IF(Param!$B$9=1,DbExcel!B327,DbWservice!B327)</f>
        <v>0</v>
      </c>
      <c r="C327" s="1">
        <f>IF(Param!$B$9=1,DbExcel!C327,DbWservice!C327)</f>
        <v>0</v>
      </c>
      <c r="D327" s="1">
        <f>IF(Param!$B$9=1,DbExcel!D327,DbWservice!D327)</f>
        <v>0</v>
      </c>
    </row>
    <row r="328" spans="1:4" x14ac:dyDescent="0.25">
      <c r="A328" s="1">
        <f>IF(Param!$B$9=1,DbExcel!A328,DbWservice!A328)</f>
        <v>0</v>
      </c>
      <c r="B328" s="1">
        <f>IF(Param!$B$9=1,DbExcel!B328,DbWservice!B328)</f>
        <v>0</v>
      </c>
      <c r="C328" s="1">
        <f>IF(Param!$B$9=1,DbExcel!C328,DbWservice!C328)</f>
        <v>0</v>
      </c>
      <c r="D328" s="1">
        <f>IF(Param!$B$9=1,DbExcel!D328,DbWservice!D328)</f>
        <v>0</v>
      </c>
    </row>
    <row r="329" spans="1:4" x14ac:dyDescent="0.25">
      <c r="A329" s="1">
        <f>IF(Param!$B$9=1,DbExcel!A329,DbWservice!A329)</f>
        <v>0</v>
      </c>
      <c r="B329" s="1">
        <f>IF(Param!$B$9=1,DbExcel!B329,DbWservice!B329)</f>
        <v>0</v>
      </c>
      <c r="C329" s="1">
        <f>IF(Param!$B$9=1,DbExcel!C329,DbWservice!C329)</f>
        <v>0</v>
      </c>
      <c r="D329" s="1">
        <f>IF(Param!$B$9=1,DbExcel!D329,DbWservice!D329)</f>
        <v>0</v>
      </c>
    </row>
    <row r="330" spans="1:4" x14ac:dyDescent="0.25">
      <c r="A330" s="1">
        <f>IF(Param!$B$9=1,DbExcel!A330,DbWservice!A330)</f>
        <v>0</v>
      </c>
      <c r="B330" s="1">
        <f>IF(Param!$B$9=1,DbExcel!B330,DbWservice!B330)</f>
        <v>0</v>
      </c>
      <c r="C330" s="1">
        <f>IF(Param!$B$9=1,DbExcel!C330,DbWservice!C330)</f>
        <v>0</v>
      </c>
      <c r="D330" s="1">
        <f>IF(Param!$B$9=1,DbExcel!D330,DbWservice!D330)</f>
        <v>0</v>
      </c>
    </row>
    <row r="331" spans="1:4" x14ac:dyDescent="0.25">
      <c r="A331" s="1">
        <f>IF(Param!$B$9=1,DbExcel!A331,DbWservice!A331)</f>
        <v>0</v>
      </c>
      <c r="B331" s="1">
        <f>IF(Param!$B$9=1,DbExcel!B331,DbWservice!B331)</f>
        <v>0</v>
      </c>
      <c r="C331" s="1">
        <f>IF(Param!$B$9=1,DbExcel!C331,DbWservice!C331)</f>
        <v>0</v>
      </c>
      <c r="D331" s="1">
        <f>IF(Param!$B$9=1,DbExcel!D331,DbWservice!D331)</f>
        <v>0</v>
      </c>
    </row>
    <row r="332" spans="1:4" x14ac:dyDescent="0.25">
      <c r="A332" s="1">
        <f>IF(Param!$B$9=1,DbExcel!A332,DbWservice!A332)</f>
        <v>0</v>
      </c>
      <c r="B332" s="1">
        <f>IF(Param!$B$9=1,DbExcel!B332,DbWservice!B332)</f>
        <v>0</v>
      </c>
      <c r="C332" s="1">
        <f>IF(Param!$B$9=1,DbExcel!C332,DbWservice!C332)</f>
        <v>0</v>
      </c>
      <c r="D332" s="1">
        <f>IF(Param!$B$9=1,DbExcel!D332,DbWservice!D332)</f>
        <v>0</v>
      </c>
    </row>
    <row r="333" spans="1:4" x14ac:dyDescent="0.25">
      <c r="A333" s="1">
        <f>IF(Param!$B$9=1,DbExcel!A333,DbWservice!A333)</f>
        <v>0</v>
      </c>
      <c r="B333" s="1">
        <f>IF(Param!$B$9=1,DbExcel!B333,DbWservice!B333)</f>
        <v>0</v>
      </c>
      <c r="C333" s="1">
        <f>IF(Param!$B$9=1,DbExcel!C333,DbWservice!C333)</f>
        <v>0</v>
      </c>
      <c r="D333" s="1">
        <f>IF(Param!$B$9=1,DbExcel!D333,DbWservice!D333)</f>
        <v>0</v>
      </c>
    </row>
    <row r="334" spans="1:4" x14ac:dyDescent="0.25">
      <c r="A334" s="1">
        <f>IF(Param!$B$9=1,DbExcel!A334,DbWservice!A334)</f>
        <v>0</v>
      </c>
      <c r="B334" s="1">
        <f>IF(Param!$B$9=1,DbExcel!B334,DbWservice!B334)</f>
        <v>0</v>
      </c>
      <c r="C334" s="1">
        <f>IF(Param!$B$9=1,DbExcel!C334,DbWservice!C334)</f>
        <v>0</v>
      </c>
      <c r="D334" s="1">
        <f>IF(Param!$B$9=1,DbExcel!D334,DbWservice!D334)</f>
        <v>0</v>
      </c>
    </row>
    <row r="335" spans="1:4" x14ac:dyDescent="0.25">
      <c r="A335" s="1">
        <f>IF(Param!$B$9=1,DbExcel!A335,DbWservice!A335)</f>
        <v>0</v>
      </c>
      <c r="B335" s="1">
        <f>IF(Param!$B$9=1,DbExcel!B335,DbWservice!B335)</f>
        <v>0</v>
      </c>
      <c r="C335" s="1">
        <f>IF(Param!$B$9=1,DbExcel!C335,DbWservice!C335)</f>
        <v>0</v>
      </c>
      <c r="D335" s="1">
        <f>IF(Param!$B$9=1,DbExcel!D335,DbWservice!D335)</f>
        <v>0</v>
      </c>
    </row>
    <row r="336" spans="1:4" x14ac:dyDescent="0.25">
      <c r="A336" s="1">
        <f>IF(Param!$B$9=1,DbExcel!A336,DbWservice!A336)</f>
        <v>0</v>
      </c>
      <c r="B336" s="1">
        <f>IF(Param!$B$9=1,DbExcel!B336,DbWservice!B336)</f>
        <v>0</v>
      </c>
      <c r="C336" s="1">
        <f>IF(Param!$B$9=1,DbExcel!C336,DbWservice!C336)</f>
        <v>0</v>
      </c>
      <c r="D336" s="1">
        <f>IF(Param!$B$9=1,DbExcel!D336,DbWservice!D336)</f>
        <v>0</v>
      </c>
    </row>
    <row r="337" spans="1:4" x14ac:dyDescent="0.25">
      <c r="A337" s="1">
        <f>IF(Param!$B$9=1,DbExcel!A337,DbWservice!A337)</f>
        <v>0</v>
      </c>
      <c r="B337" s="1">
        <f>IF(Param!$B$9=1,DbExcel!B337,DbWservice!B337)</f>
        <v>0</v>
      </c>
      <c r="C337" s="1">
        <f>IF(Param!$B$9=1,DbExcel!C337,DbWservice!C337)</f>
        <v>0</v>
      </c>
      <c r="D337" s="1">
        <f>IF(Param!$B$9=1,DbExcel!D337,DbWservice!D337)</f>
        <v>0</v>
      </c>
    </row>
    <row r="338" spans="1:4" x14ac:dyDescent="0.25">
      <c r="A338" s="1">
        <f>IF(Param!$B$9=1,DbExcel!A338,DbWservice!A338)</f>
        <v>0</v>
      </c>
      <c r="B338" s="1">
        <f>IF(Param!$B$9=1,DbExcel!B338,DbWservice!B338)</f>
        <v>0</v>
      </c>
      <c r="C338" s="1">
        <f>IF(Param!$B$9=1,DbExcel!C338,DbWservice!C338)</f>
        <v>0</v>
      </c>
      <c r="D338" s="1">
        <f>IF(Param!$B$9=1,DbExcel!D338,DbWservice!D338)</f>
        <v>0</v>
      </c>
    </row>
    <row r="339" spans="1:4" x14ac:dyDescent="0.25">
      <c r="A339" s="1">
        <f>IF(Param!$B$9=1,DbExcel!A339,DbWservice!A339)</f>
        <v>0</v>
      </c>
      <c r="B339" s="1">
        <f>IF(Param!$B$9=1,DbExcel!B339,DbWservice!B339)</f>
        <v>0</v>
      </c>
      <c r="C339" s="1">
        <f>IF(Param!$B$9=1,DbExcel!C339,DbWservice!C339)</f>
        <v>0</v>
      </c>
      <c r="D339" s="1">
        <f>IF(Param!$B$9=1,DbExcel!D339,DbWservice!D339)</f>
        <v>0</v>
      </c>
    </row>
    <row r="340" spans="1:4" x14ac:dyDescent="0.25">
      <c r="A340" s="1">
        <f>IF(Param!$B$9=1,DbExcel!A340,DbWservice!A340)</f>
        <v>0</v>
      </c>
      <c r="B340" s="1">
        <f>IF(Param!$B$9=1,DbExcel!B340,DbWservice!B340)</f>
        <v>0</v>
      </c>
      <c r="C340" s="1">
        <f>IF(Param!$B$9=1,DbExcel!C340,DbWservice!C340)</f>
        <v>0</v>
      </c>
      <c r="D340" s="1">
        <f>IF(Param!$B$9=1,DbExcel!D340,DbWservice!D340)</f>
        <v>0</v>
      </c>
    </row>
    <row r="341" spans="1:4" x14ac:dyDescent="0.25">
      <c r="A341" s="1">
        <f>IF(Param!$B$9=1,DbExcel!A341,DbWservice!A341)</f>
        <v>0</v>
      </c>
      <c r="B341" s="1">
        <f>IF(Param!$B$9=1,DbExcel!B341,DbWservice!B341)</f>
        <v>0</v>
      </c>
      <c r="C341" s="1">
        <f>IF(Param!$B$9=1,DbExcel!C341,DbWservice!C341)</f>
        <v>0</v>
      </c>
      <c r="D341" s="1">
        <f>IF(Param!$B$9=1,DbExcel!D341,DbWservice!D341)</f>
        <v>0</v>
      </c>
    </row>
    <row r="342" spans="1:4" x14ac:dyDescent="0.25">
      <c r="A342" s="1">
        <f>IF(Param!$B$9=1,DbExcel!A342,DbWservice!A342)</f>
        <v>0</v>
      </c>
      <c r="B342" s="1">
        <f>IF(Param!$B$9=1,DbExcel!B342,DbWservice!B342)</f>
        <v>0</v>
      </c>
      <c r="C342" s="1">
        <f>IF(Param!$B$9=1,DbExcel!C342,DbWservice!C342)</f>
        <v>0</v>
      </c>
      <c r="D342" s="1">
        <f>IF(Param!$B$9=1,DbExcel!D342,DbWservice!D342)</f>
        <v>0</v>
      </c>
    </row>
    <row r="343" spans="1:4" x14ac:dyDescent="0.25">
      <c r="A343" s="1">
        <f>IF(Param!$B$9=1,DbExcel!A343,DbWservice!A343)</f>
        <v>0</v>
      </c>
      <c r="B343" s="1">
        <f>IF(Param!$B$9=1,DbExcel!B343,DbWservice!B343)</f>
        <v>0</v>
      </c>
      <c r="C343" s="1">
        <f>IF(Param!$B$9=1,DbExcel!C343,DbWservice!C343)</f>
        <v>0</v>
      </c>
      <c r="D343" s="1">
        <f>IF(Param!$B$9=1,DbExcel!D343,DbWservice!D343)</f>
        <v>0</v>
      </c>
    </row>
    <row r="344" spans="1:4" x14ac:dyDescent="0.25">
      <c r="A344" s="1">
        <f>IF(Param!$B$9=1,DbExcel!A344,DbWservice!A344)</f>
        <v>0</v>
      </c>
      <c r="B344" s="1">
        <f>IF(Param!$B$9=1,DbExcel!B344,DbWservice!B344)</f>
        <v>0</v>
      </c>
      <c r="C344" s="1">
        <f>IF(Param!$B$9=1,DbExcel!C344,DbWservice!C344)</f>
        <v>0</v>
      </c>
      <c r="D344" s="1">
        <f>IF(Param!$B$9=1,DbExcel!D344,DbWservice!D344)</f>
        <v>0</v>
      </c>
    </row>
    <row r="345" spans="1:4" x14ac:dyDescent="0.25">
      <c r="A345" s="1">
        <f>IF(Param!$B$9=1,DbExcel!A345,DbWservice!A345)</f>
        <v>0</v>
      </c>
      <c r="B345" s="1">
        <f>IF(Param!$B$9=1,DbExcel!B345,DbWservice!B345)</f>
        <v>0</v>
      </c>
      <c r="C345" s="1">
        <f>IF(Param!$B$9=1,DbExcel!C345,DbWservice!C345)</f>
        <v>0</v>
      </c>
      <c r="D345" s="1">
        <f>IF(Param!$B$9=1,DbExcel!D345,DbWservice!D345)</f>
        <v>0</v>
      </c>
    </row>
    <row r="346" spans="1:4" x14ac:dyDescent="0.25">
      <c r="A346" s="1">
        <f>IF(Param!$B$9=1,DbExcel!A346,DbWservice!A346)</f>
        <v>0</v>
      </c>
      <c r="B346" s="1">
        <f>IF(Param!$B$9=1,DbExcel!B346,DbWservice!B346)</f>
        <v>0</v>
      </c>
      <c r="C346" s="1">
        <f>IF(Param!$B$9=1,DbExcel!C346,DbWservice!C346)</f>
        <v>0</v>
      </c>
      <c r="D346" s="1">
        <f>IF(Param!$B$9=1,DbExcel!D346,DbWservice!D346)</f>
        <v>0</v>
      </c>
    </row>
    <row r="347" spans="1:4" x14ac:dyDescent="0.25">
      <c r="A347" s="1">
        <f>IF(Param!$B$9=1,DbExcel!A347,DbWservice!A347)</f>
        <v>0</v>
      </c>
      <c r="B347" s="1">
        <f>IF(Param!$B$9=1,DbExcel!B347,DbWservice!B347)</f>
        <v>0</v>
      </c>
      <c r="C347" s="1">
        <f>IF(Param!$B$9=1,DbExcel!C347,DbWservice!C347)</f>
        <v>0</v>
      </c>
      <c r="D347" s="1">
        <f>IF(Param!$B$9=1,DbExcel!D347,DbWservice!D347)</f>
        <v>0</v>
      </c>
    </row>
    <row r="348" spans="1:4" x14ac:dyDescent="0.25">
      <c r="A348" s="1">
        <f>IF(Param!$B$9=1,DbExcel!A348,DbWservice!A348)</f>
        <v>0</v>
      </c>
      <c r="B348" s="1">
        <f>IF(Param!$B$9=1,DbExcel!B348,DbWservice!B348)</f>
        <v>0</v>
      </c>
      <c r="C348" s="1">
        <f>IF(Param!$B$9=1,DbExcel!C348,DbWservice!C348)</f>
        <v>0</v>
      </c>
      <c r="D348" s="1">
        <f>IF(Param!$B$9=1,DbExcel!D348,DbWservice!D348)</f>
        <v>0</v>
      </c>
    </row>
    <row r="349" spans="1:4" x14ac:dyDescent="0.25">
      <c r="A349" s="1">
        <f>IF(Param!$B$9=1,DbExcel!A349,DbWservice!A349)</f>
        <v>0</v>
      </c>
      <c r="B349" s="1">
        <f>IF(Param!$B$9=1,DbExcel!B349,DbWservice!B349)</f>
        <v>0</v>
      </c>
      <c r="C349" s="1">
        <f>IF(Param!$B$9=1,DbExcel!C349,DbWservice!C349)</f>
        <v>0</v>
      </c>
      <c r="D349" s="1">
        <f>IF(Param!$B$9=1,DbExcel!D349,DbWservice!D349)</f>
        <v>0</v>
      </c>
    </row>
    <row r="350" spans="1:4" x14ac:dyDescent="0.25">
      <c r="A350" s="1">
        <f>IF(Param!$B$9=1,DbExcel!A350,DbWservice!A350)</f>
        <v>0</v>
      </c>
      <c r="B350" s="1">
        <f>IF(Param!$B$9=1,DbExcel!B350,DbWservice!B350)</f>
        <v>0</v>
      </c>
      <c r="C350" s="1">
        <f>IF(Param!$B$9=1,DbExcel!C350,DbWservice!C350)</f>
        <v>0</v>
      </c>
      <c r="D350" s="1">
        <f>IF(Param!$B$9=1,DbExcel!D350,DbWservice!D350)</f>
        <v>0</v>
      </c>
    </row>
    <row r="351" spans="1:4" x14ac:dyDescent="0.25">
      <c r="A351" s="1">
        <f>IF(Param!$B$9=1,DbExcel!A351,DbWservice!A351)</f>
        <v>0</v>
      </c>
      <c r="B351" s="1">
        <f>IF(Param!$B$9=1,DbExcel!B351,DbWservice!B351)</f>
        <v>0</v>
      </c>
      <c r="C351" s="1">
        <f>IF(Param!$B$9=1,DbExcel!C351,DbWservice!C351)</f>
        <v>0</v>
      </c>
      <c r="D351" s="1">
        <f>IF(Param!$B$9=1,DbExcel!D351,DbWservice!D351)</f>
        <v>0</v>
      </c>
    </row>
    <row r="352" spans="1:4" x14ac:dyDescent="0.25">
      <c r="A352" s="1">
        <f>IF(Param!$B$9=1,DbExcel!A352,DbWservice!A352)</f>
        <v>0</v>
      </c>
      <c r="B352" s="1">
        <f>IF(Param!$B$9=1,DbExcel!B352,DbWservice!B352)</f>
        <v>0</v>
      </c>
      <c r="C352" s="1">
        <f>IF(Param!$B$9=1,DbExcel!C352,DbWservice!C352)</f>
        <v>0</v>
      </c>
      <c r="D352" s="1">
        <f>IF(Param!$B$9=1,DbExcel!D352,DbWservice!D352)</f>
        <v>0</v>
      </c>
    </row>
    <row r="353" spans="1:4" x14ac:dyDescent="0.25">
      <c r="A353" s="1">
        <f>IF(Param!$B$9=1,DbExcel!A353,DbWservice!A353)</f>
        <v>0</v>
      </c>
      <c r="B353" s="1">
        <f>IF(Param!$B$9=1,DbExcel!B353,DbWservice!B353)</f>
        <v>0</v>
      </c>
      <c r="C353" s="1">
        <f>IF(Param!$B$9=1,DbExcel!C353,DbWservice!C353)</f>
        <v>0</v>
      </c>
      <c r="D353" s="1">
        <f>IF(Param!$B$9=1,DbExcel!D353,DbWservice!D353)</f>
        <v>0</v>
      </c>
    </row>
    <row r="354" spans="1:4" x14ac:dyDescent="0.25">
      <c r="A354" s="1">
        <f>IF(Param!$B$9=1,DbExcel!A354,DbWservice!A354)</f>
        <v>0</v>
      </c>
      <c r="B354" s="1">
        <f>IF(Param!$B$9=1,DbExcel!B354,DbWservice!B354)</f>
        <v>0</v>
      </c>
      <c r="C354" s="1">
        <f>IF(Param!$B$9=1,DbExcel!C354,DbWservice!C354)</f>
        <v>0</v>
      </c>
      <c r="D354" s="1">
        <f>IF(Param!$B$9=1,DbExcel!D354,DbWservice!D354)</f>
        <v>0</v>
      </c>
    </row>
    <row r="355" spans="1:4" x14ac:dyDescent="0.25">
      <c r="A355" s="1">
        <f>IF(Param!$B$9=1,DbExcel!A355,DbWservice!A355)</f>
        <v>0</v>
      </c>
      <c r="B355" s="1">
        <f>IF(Param!$B$9=1,DbExcel!B355,DbWservice!B355)</f>
        <v>0</v>
      </c>
      <c r="C355" s="1">
        <f>IF(Param!$B$9=1,DbExcel!C355,DbWservice!C355)</f>
        <v>0</v>
      </c>
      <c r="D355" s="1">
        <f>IF(Param!$B$9=1,DbExcel!D355,DbWservice!D355)</f>
        <v>0</v>
      </c>
    </row>
    <row r="356" spans="1:4" x14ac:dyDescent="0.25">
      <c r="A356" s="1">
        <f>IF(Param!$B$9=1,DbExcel!A356,DbWservice!A356)</f>
        <v>0</v>
      </c>
      <c r="B356" s="1">
        <f>IF(Param!$B$9=1,DbExcel!B356,DbWservice!B356)</f>
        <v>0</v>
      </c>
      <c r="C356" s="1">
        <f>IF(Param!$B$9=1,DbExcel!C356,DbWservice!C356)</f>
        <v>0</v>
      </c>
      <c r="D356" s="1">
        <f>IF(Param!$B$9=1,DbExcel!D356,DbWservice!D356)</f>
        <v>0</v>
      </c>
    </row>
    <row r="357" spans="1:4" x14ac:dyDescent="0.25">
      <c r="A357" s="1">
        <f>IF(Param!$B$9=1,DbExcel!A357,DbWservice!A357)</f>
        <v>0</v>
      </c>
      <c r="B357" s="1">
        <f>IF(Param!$B$9=1,DbExcel!B357,DbWservice!B357)</f>
        <v>0</v>
      </c>
      <c r="C357" s="1">
        <f>IF(Param!$B$9=1,DbExcel!C357,DbWservice!C357)</f>
        <v>0</v>
      </c>
      <c r="D357" s="1">
        <f>IF(Param!$B$9=1,DbExcel!D357,DbWservice!D357)</f>
        <v>0</v>
      </c>
    </row>
    <row r="358" spans="1:4" x14ac:dyDescent="0.25">
      <c r="A358" s="1">
        <f>IF(Param!$B$9=1,DbExcel!A358,DbWservice!A358)</f>
        <v>0</v>
      </c>
      <c r="B358" s="1">
        <f>IF(Param!$B$9=1,DbExcel!B358,DbWservice!B358)</f>
        <v>0</v>
      </c>
      <c r="C358" s="1">
        <f>IF(Param!$B$9=1,DbExcel!C358,DbWservice!C358)</f>
        <v>0</v>
      </c>
      <c r="D358" s="1">
        <f>IF(Param!$B$9=1,DbExcel!D358,DbWservice!D358)</f>
        <v>0</v>
      </c>
    </row>
    <row r="359" spans="1:4" x14ac:dyDescent="0.25">
      <c r="A359" s="1">
        <f>IF(Param!$B$9=1,DbExcel!A359,DbWservice!A359)</f>
        <v>0</v>
      </c>
      <c r="B359" s="1">
        <f>IF(Param!$B$9=1,DbExcel!B359,DbWservice!B359)</f>
        <v>0</v>
      </c>
      <c r="C359" s="1">
        <f>IF(Param!$B$9=1,DbExcel!C359,DbWservice!C359)</f>
        <v>0</v>
      </c>
      <c r="D359" s="1">
        <f>IF(Param!$B$9=1,DbExcel!D359,DbWservice!D359)</f>
        <v>0</v>
      </c>
    </row>
    <row r="360" spans="1:4" x14ac:dyDescent="0.25">
      <c r="A360" s="1">
        <f>IF(Param!$B$9=1,DbExcel!A360,DbWservice!A360)</f>
        <v>0</v>
      </c>
      <c r="B360" s="1">
        <f>IF(Param!$B$9=1,DbExcel!B360,DbWservice!B360)</f>
        <v>0</v>
      </c>
      <c r="C360" s="1">
        <f>IF(Param!$B$9=1,DbExcel!C360,DbWservice!C360)</f>
        <v>0</v>
      </c>
      <c r="D360" s="1">
        <f>IF(Param!$B$9=1,DbExcel!D360,DbWservice!D360)</f>
        <v>0</v>
      </c>
    </row>
    <row r="361" spans="1:4" x14ac:dyDescent="0.25">
      <c r="A361" s="1">
        <f>IF(Param!$B$9=1,DbExcel!A361,DbWservice!A361)</f>
        <v>0</v>
      </c>
      <c r="B361" s="1">
        <f>IF(Param!$B$9=1,DbExcel!B361,DbWservice!B361)</f>
        <v>0</v>
      </c>
      <c r="C361" s="1">
        <f>IF(Param!$B$9=1,DbExcel!C361,DbWservice!C361)</f>
        <v>0</v>
      </c>
      <c r="D361" s="1">
        <f>IF(Param!$B$9=1,DbExcel!D361,DbWservice!D361)</f>
        <v>0</v>
      </c>
    </row>
    <row r="362" spans="1:4" x14ac:dyDescent="0.25">
      <c r="A362" s="1">
        <f>IF(Param!$B$9=1,DbExcel!A362,DbWservice!A362)</f>
        <v>0</v>
      </c>
      <c r="B362" s="1">
        <f>IF(Param!$B$9=1,DbExcel!B362,DbWservice!B362)</f>
        <v>0</v>
      </c>
      <c r="C362" s="1">
        <f>IF(Param!$B$9=1,DbExcel!C362,DbWservice!C362)</f>
        <v>0</v>
      </c>
      <c r="D362" s="1">
        <f>IF(Param!$B$9=1,DbExcel!D362,DbWservice!D362)</f>
        <v>0</v>
      </c>
    </row>
    <row r="363" spans="1:4" x14ac:dyDescent="0.25">
      <c r="A363" s="1">
        <f>IF(Param!$B$9=1,DbExcel!A363,DbWservice!A363)</f>
        <v>0</v>
      </c>
      <c r="B363" s="1">
        <f>IF(Param!$B$9=1,DbExcel!B363,DbWservice!B363)</f>
        <v>0</v>
      </c>
      <c r="C363" s="1">
        <f>IF(Param!$B$9=1,DbExcel!C363,DbWservice!C363)</f>
        <v>0</v>
      </c>
      <c r="D363" s="1">
        <f>IF(Param!$B$9=1,DbExcel!D363,DbWservice!D363)</f>
        <v>0</v>
      </c>
    </row>
    <row r="364" spans="1:4" x14ac:dyDescent="0.25">
      <c r="A364" s="1">
        <f>IF(Param!$B$9=1,DbExcel!A364,DbWservice!A364)</f>
        <v>0</v>
      </c>
      <c r="B364" s="1">
        <f>IF(Param!$B$9=1,DbExcel!B364,DbWservice!B364)</f>
        <v>0</v>
      </c>
      <c r="C364" s="1">
        <f>IF(Param!$B$9=1,DbExcel!C364,DbWservice!C364)</f>
        <v>0</v>
      </c>
      <c r="D364" s="1">
        <f>IF(Param!$B$9=1,DbExcel!D364,DbWservice!D364)</f>
        <v>0</v>
      </c>
    </row>
    <row r="365" spans="1:4" x14ac:dyDescent="0.25">
      <c r="A365" s="1">
        <f>IF(Param!$B$9=1,DbExcel!A365,DbWservice!A365)</f>
        <v>0</v>
      </c>
      <c r="B365" s="1">
        <f>IF(Param!$B$9=1,DbExcel!B365,DbWservice!B365)</f>
        <v>0</v>
      </c>
      <c r="C365" s="1">
        <f>IF(Param!$B$9=1,DbExcel!C365,DbWservice!C365)</f>
        <v>0</v>
      </c>
      <c r="D365" s="1">
        <f>IF(Param!$B$9=1,DbExcel!D365,DbWservice!D365)</f>
        <v>0</v>
      </c>
    </row>
    <row r="366" spans="1:4" x14ac:dyDescent="0.25">
      <c r="A366" s="1">
        <f>IF(Param!$B$9=1,DbExcel!A366,DbWservice!A366)</f>
        <v>0</v>
      </c>
      <c r="B366" s="1">
        <f>IF(Param!$B$9=1,DbExcel!B366,DbWservice!B366)</f>
        <v>0</v>
      </c>
      <c r="C366" s="1">
        <f>IF(Param!$B$9=1,DbExcel!C366,DbWservice!C366)</f>
        <v>0</v>
      </c>
      <c r="D366" s="1">
        <f>IF(Param!$B$9=1,DbExcel!D366,DbWservice!D366)</f>
        <v>0</v>
      </c>
    </row>
    <row r="367" spans="1:4" x14ac:dyDescent="0.25">
      <c r="A367" s="1">
        <f>IF(Param!$B$9=1,DbExcel!A367,DbWservice!A367)</f>
        <v>0</v>
      </c>
      <c r="B367" s="1">
        <f>IF(Param!$B$9=1,DbExcel!B367,DbWservice!B367)</f>
        <v>0</v>
      </c>
      <c r="C367" s="1">
        <f>IF(Param!$B$9=1,DbExcel!C367,DbWservice!C367)</f>
        <v>0</v>
      </c>
      <c r="D367" s="1">
        <f>IF(Param!$B$9=1,DbExcel!D367,DbWservice!D367)</f>
        <v>0</v>
      </c>
    </row>
    <row r="368" spans="1:4" x14ac:dyDescent="0.25">
      <c r="A368" s="1">
        <f>IF(Param!$B$9=1,DbExcel!A368,DbWservice!A368)</f>
        <v>0</v>
      </c>
      <c r="B368" s="1">
        <f>IF(Param!$B$9=1,DbExcel!B368,DbWservice!B368)</f>
        <v>0</v>
      </c>
      <c r="C368" s="1">
        <f>IF(Param!$B$9=1,DbExcel!C368,DbWservice!C368)</f>
        <v>0</v>
      </c>
      <c r="D368" s="1">
        <f>IF(Param!$B$9=1,DbExcel!D368,DbWservice!D368)</f>
        <v>0</v>
      </c>
    </row>
    <row r="369" spans="1:4" x14ac:dyDescent="0.25">
      <c r="A369" s="1">
        <f>IF(Param!$B$9=1,DbExcel!A369,DbWservice!A369)</f>
        <v>0</v>
      </c>
      <c r="B369" s="1">
        <f>IF(Param!$B$9=1,DbExcel!B369,DbWservice!B369)</f>
        <v>0</v>
      </c>
      <c r="C369" s="1">
        <f>IF(Param!$B$9=1,DbExcel!C369,DbWservice!C369)</f>
        <v>0</v>
      </c>
      <c r="D369" s="1">
        <f>IF(Param!$B$9=1,DbExcel!D369,DbWservice!D369)</f>
        <v>0</v>
      </c>
    </row>
    <row r="370" spans="1:4" x14ac:dyDescent="0.25">
      <c r="A370" s="1">
        <f>IF(Param!$B$9=1,DbExcel!A370,DbWservice!A370)</f>
        <v>0</v>
      </c>
      <c r="B370" s="1">
        <f>IF(Param!$B$9=1,DbExcel!B370,DbWservice!B370)</f>
        <v>0</v>
      </c>
      <c r="C370" s="1">
        <f>IF(Param!$B$9=1,DbExcel!C370,DbWservice!C370)</f>
        <v>0</v>
      </c>
      <c r="D370" s="1">
        <f>IF(Param!$B$9=1,DbExcel!D370,DbWservice!D370)</f>
        <v>0</v>
      </c>
    </row>
    <row r="371" spans="1:4" x14ac:dyDescent="0.25">
      <c r="A371" s="1">
        <f>IF(Param!$B$9=1,DbExcel!A371,DbWservice!A371)</f>
        <v>0</v>
      </c>
      <c r="B371" s="1">
        <f>IF(Param!$B$9=1,DbExcel!B371,DbWservice!B371)</f>
        <v>0</v>
      </c>
      <c r="C371" s="1">
        <f>IF(Param!$B$9=1,DbExcel!C371,DbWservice!C371)</f>
        <v>0</v>
      </c>
      <c r="D371" s="1">
        <f>IF(Param!$B$9=1,DbExcel!D371,DbWservice!D371)</f>
        <v>0</v>
      </c>
    </row>
    <row r="372" spans="1:4" x14ac:dyDescent="0.25">
      <c r="A372" s="1">
        <f>IF(Param!$B$9=1,DbExcel!A372,DbWservice!A372)</f>
        <v>0</v>
      </c>
      <c r="B372" s="1">
        <f>IF(Param!$B$9=1,DbExcel!B372,DbWservice!B372)</f>
        <v>0</v>
      </c>
      <c r="C372" s="1">
        <f>IF(Param!$B$9=1,DbExcel!C372,DbWservice!C372)</f>
        <v>0</v>
      </c>
      <c r="D372" s="1">
        <f>IF(Param!$B$9=1,DbExcel!D372,DbWservice!D372)</f>
        <v>0</v>
      </c>
    </row>
    <row r="373" spans="1:4" x14ac:dyDescent="0.25">
      <c r="A373" s="1">
        <f>IF(Param!$B$9=1,DbExcel!A373,DbWservice!A373)</f>
        <v>0</v>
      </c>
      <c r="B373" s="1">
        <f>IF(Param!$B$9=1,DbExcel!B373,DbWservice!B373)</f>
        <v>0</v>
      </c>
      <c r="C373" s="1">
        <f>IF(Param!$B$9=1,DbExcel!C373,DbWservice!C373)</f>
        <v>0</v>
      </c>
      <c r="D373" s="1">
        <f>IF(Param!$B$9=1,DbExcel!D373,DbWservice!D373)</f>
        <v>0</v>
      </c>
    </row>
    <row r="374" spans="1:4" x14ac:dyDescent="0.25">
      <c r="A374" s="1">
        <f>IF(Param!$B$9=1,DbExcel!A374,DbWservice!A374)</f>
        <v>0</v>
      </c>
      <c r="B374" s="1">
        <f>IF(Param!$B$9=1,DbExcel!B374,DbWservice!B374)</f>
        <v>0</v>
      </c>
      <c r="C374" s="1">
        <f>IF(Param!$B$9=1,DbExcel!C374,DbWservice!C374)</f>
        <v>0</v>
      </c>
      <c r="D374" s="1">
        <f>IF(Param!$B$9=1,DbExcel!D374,DbWservice!D374)</f>
        <v>0</v>
      </c>
    </row>
    <row r="375" spans="1:4" x14ac:dyDescent="0.25">
      <c r="A375" s="1">
        <f>IF(Param!$B$9=1,DbExcel!A375,DbWservice!A375)</f>
        <v>0</v>
      </c>
      <c r="B375" s="1">
        <f>IF(Param!$B$9=1,DbExcel!B375,DbWservice!B375)</f>
        <v>0</v>
      </c>
      <c r="C375" s="1">
        <f>IF(Param!$B$9=1,DbExcel!C375,DbWservice!C375)</f>
        <v>0</v>
      </c>
      <c r="D375" s="1">
        <f>IF(Param!$B$9=1,DbExcel!D375,DbWservice!D375)</f>
        <v>0</v>
      </c>
    </row>
    <row r="376" spans="1:4" x14ac:dyDescent="0.25">
      <c r="A376" s="1">
        <f>IF(Param!$B$9=1,DbExcel!A376,DbWservice!A376)</f>
        <v>0</v>
      </c>
      <c r="B376" s="1">
        <f>IF(Param!$B$9=1,DbExcel!B376,DbWservice!B376)</f>
        <v>0</v>
      </c>
      <c r="C376" s="1">
        <f>IF(Param!$B$9=1,DbExcel!C376,DbWservice!C376)</f>
        <v>0</v>
      </c>
      <c r="D376" s="1">
        <f>IF(Param!$B$9=1,DbExcel!D376,DbWservice!D376)</f>
        <v>0</v>
      </c>
    </row>
    <row r="377" spans="1:4" x14ac:dyDescent="0.25">
      <c r="A377" s="1">
        <f>IF(Param!$B$9=1,DbExcel!A377,DbWservice!A377)</f>
        <v>0</v>
      </c>
      <c r="B377" s="1">
        <f>IF(Param!$B$9=1,DbExcel!B377,DbWservice!B377)</f>
        <v>0</v>
      </c>
      <c r="C377" s="1">
        <f>IF(Param!$B$9=1,DbExcel!C377,DbWservice!C377)</f>
        <v>0</v>
      </c>
      <c r="D377" s="1">
        <f>IF(Param!$B$9=1,DbExcel!D377,DbWservice!D377)</f>
        <v>0</v>
      </c>
    </row>
    <row r="378" spans="1:4" x14ac:dyDescent="0.25">
      <c r="A378" s="1">
        <f>IF(Param!$B$9=1,DbExcel!A378,DbWservice!A378)</f>
        <v>0</v>
      </c>
      <c r="B378" s="1">
        <f>IF(Param!$B$9=1,DbExcel!B378,DbWservice!B378)</f>
        <v>0</v>
      </c>
      <c r="C378" s="1">
        <f>IF(Param!$B$9=1,DbExcel!C378,DbWservice!C378)</f>
        <v>0</v>
      </c>
      <c r="D378" s="1">
        <f>IF(Param!$B$9=1,DbExcel!D378,DbWservice!D378)</f>
        <v>0</v>
      </c>
    </row>
    <row r="379" spans="1:4" x14ac:dyDescent="0.25">
      <c r="A379" s="1">
        <f>IF(Param!$B$9=1,DbExcel!A379,DbWservice!A379)</f>
        <v>0</v>
      </c>
      <c r="B379" s="1">
        <f>IF(Param!$B$9=1,DbExcel!B379,DbWservice!B379)</f>
        <v>0</v>
      </c>
      <c r="C379" s="1">
        <f>IF(Param!$B$9=1,DbExcel!C379,DbWservice!C379)</f>
        <v>0</v>
      </c>
      <c r="D379" s="1">
        <f>IF(Param!$B$9=1,DbExcel!D379,DbWservice!D379)</f>
        <v>0</v>
      </c>
    </row>
    <row r="380" spans="1:4" x14ac:dyDescent="0.25">
      <c r="A380" s="1">
        <f>IF(Param!$B$9=1,DbExcel!A380,DbWservice!A380)</f>
        <v>0</v>
      </c>
      <c r="B380" s="1">
        <f>IF(Param!$B$9=1,DbExcel!B380,DbWservice!B380)</f>
        <v>0</v>
      </c>
      <c r="C380" s="1">
        <f>IF(Param!$B$9=1,DbExcel!C380,DbWservice!C380)</f>
        <v>0</v>
      </c>
      <c r="D380" s="1">
        <f>IF(Param!$B$9=1,DbExcel!D380,DbWservice!D380)</f>
        <v>0</v>
      </c>
    </row>
    <row r="381" spans="1:4" x14ac:dyDescent="0.25">
      <c r="A381" s="1">
        <f>IF(Param!$B$9=1,DbExcel!A381,DbWservice!A381)</f>
        <v>0</v>
      </c>
      <c r="B381" s="1">
        <f>IF(Param!$B$9=1,DbExcel!B381,DbWservice!B381)</f>
        <v>0</v>
      </c>
      <c r="C381" s="1">
        <f>IF(Param!$B$9=1,DbExcel!C381,DbWservice!C381)</f>
        <v>0</v>
      </c>
      <c r="D381" s="1">
        <f>IF(Param!$B$9=1,DbExcel!D381,DbWservice!D381)</f>
        <v>0</v>
      </c>
    </row>
    <row r="382" spans="1:4" x14ac:dyDescent="0.25">
      <c r="A382" s="1">
        <f>IF(Param!$B$9=1,DbExcel!A382,DbWservice!A382)</f>
        <v>0</v>
      </c>
      <c r="B382" s="1">
        <f>IF(Param!$B$9=1,DbExcel!B382,DbWservice!B382)</f>
        <v>0</v>
      </c>
      <c r="C382" s="1">
        <f>IF(Param!$B$9=1,DbExcel!C382,DbWservice!C382)</f>
        <v>0</v>
      </c>
      <c r="D382" s="1">
        <f>IF(Param!$B$9=1,DbExcel!D382,DbWservice!D382)</f>
        <v>0</v>
      </c>
    </row>
    <row r="383" spans="1:4" x14ac:dyDescent="0.25">
      <c r="A383" s="1">
        <f>IF(Param!$B$9=1,DbExcel!A383,DbWservice!A383)</f>
        <v>0</v>
      </c>
      <c r="B383" s="1">
        <f>IF(Param!$B$9=1,DbExcel!B383,DbWservice!B383)</f>
        <v>0</v>
      </c>
      <c r="C383" s="1">
        <f>IF(Param!$B$9=1,DbExcel!C383,DbWservice!C383)</f>
        <v>0</v>
      </c>
      <c r="D383" s="1">
        <f>IF(Param!$B$9=1,DbExcel!D383,DbWservice!D383)</f>
        <v>0</v>
      </c>
    </row>
    <row r="384" spans="1:4" x14ac:dyDescent="0.25">
      <c r="A384" s="1">
        <f>IF(Param!$B$9=1,DbExcel!A384,DbWservice!A384)</f>
        <v>0</v>
      </c>
      <c r="B384" s="1">
        <f>IF(Param!$B$9=1,DbExcel!B384,DbWservice!B384)</f>
        <v>0</v>
      </c>
      <c r="C384" s="1">
        <f>IF(Param!$B$9=1,DbExcel!C384,DbWservice!C384)</f>
        <v>0</v>
      </c>
      <c r="D384" s="1">
        <f>IF(Param!$B$9=1,DbExcel!D384,DbWservice!D384)</f>
        <v>0</v>
      </c>
    </row>
    <row r="385" spans="1:4" x14ac:dyDescent="0.25">
      <c r="A385" s="1">
        <f>IF(Param!$B$9=1,DbExcel!A385,DbWservice!A385)</f>
        <v>0</v>
      </c>
      <c r="B385" s="1">
        <f>IF(Param!$B$9=1,DbExcel!B385,DbWservice!B385)</f>
        <v>0</v>
      </c>
      <c r="C385" s="1">
        <f>IF(Param!$B$9=1,DbExcel!C385,DbWservice!C385)</f>
        <v>0</v>
      </c>
      <c r="D385" s="1">
        <f>IF(Param!$B$9=1,DbExcel!D385,DbWservice!D385)</f>
        <v>0</v>
      </c>
    </row>
    <row r="386" spans="1:4" x14ac:dyDescent="0.25">
      <c r="A386" s="1">
        <f>IF(Param!$B$9=1,DbExcel!A386,DbWservice!A386)</f>
        <v>0</v>
      </c>
      <c r="B386" s="1">
        <f>IF(Param!$B$9=1,DbExcel!B386,DbWservice!B386)</f>
        <v>0</v>
      </c>
      <c r="C386" s="1">
        <f>IF(Param!$B$9=1,DbExcel!C386,DbWservice!C386)</f>
        <v>0</v>
      </c>
      <c r="D386" s="1">
        <f>IF(Param!$B$9=1,DbExcel!D386,DbWservice!D386)</f>
        <v>0</v>
      </c>
    </row>
    <row r="387" spans="1:4" x14ac:dyDescent="0.25">
      <c r="A387" s="1">
        <f>IF(Param!$B$9=1,DbExcel!A387,DbWservice!A387)</f>
        <v>0</v>
      </c>
      <c r="B387" s="1">
        <f>IF(Param!$B$9=1,DbExcel!B387,DbWservice!B387)</f>
        <v>0</v>
      </c>
      <c r="C387" s="1">
        <f>IF(Param!$B$9=1,DbExcel!C387,DbWservice!C387)</f>
        <v>0</v>
      </c>
      <c r="D387" s="1">
        <f>IF(Param!$B$9=1,DbExcel!D387,DbWservice!D387)</f>
        <v>0</v>
      </c>
    </row>
    <row r="388" spans="1:4" x14ac:dyDescent="0.25">
      <c r="A388" s="1">
        <f>IF(Param!$B$9=1,DbExcel!A388,DbWservice!A388)</f>
        <v>0</v>
      </c>
      <c r="B388" s="1">
        <f>IF(Param!$B$9=1,DbExcel!B388,DbWservice!B388)</f>
        <v>0</v>
      </c>
      <c r="C388" s="1">
        <f>IF(Param!$B$9=1,DbExcel!C388,DbWservice!C388)</f>
        <v>0</v>
      </c>
      <c r="D388" s="1">
        <f>IF(Param!$B$9=1,DbExcel!D388,DbWservice!D388)</f>
        <v>0</v>
      </c>
    </row>
    <row r="389" spans="1:4" x14ac:dyDescent="0.25">
      <c r="A389" s="1">
        <f>IF(Param!$B$9=1,DbExcel!A389,DbWservice!A389)</f>
        <v>0</v>
      </c>
      <c r="B389" s="1">
        <f>IF(Param!$B$9=1,DbExcel!B389,DbWservice!B389)</f>
        <v>0</v>
      </c>
      <c r="C389" s="1">
        <f>IF(Param!$B$9=1,DbExcel!C389,DbWservice!C389)</f>
        <v>0</v>
      </c>
      <c r="D389" s="1">
        <f>IF(Param!$B$9=1,DbExcel!D389,DbWservice!D389)</f>
        <v>0</v>
      </c>
    </row>
    <row r="390" spans="1:4" x14ac:dyDescent="0.25">
      <c r="A390" s="1">
        <f>IF(Param!$B$9=1,DbExcel!A390,DbWservice!A390)</f>
        <v>0</v>
      </c>
      <c r="B390" s="1">
        <f>IF(Param!$B$9=1,DbExcel!B390,DbWservice!B390)</f>
        <v>0</v>
      </c>
      <c r="C390" s="1">
        <f>IF(Param!$B$9=1,DbExcel!C390,DbWservice!C390)</f>
        <v>0</v>
      </c>
      <c r="D390" s="1">
        <f>IF(Param!$B$9=1,DbExcel!D390,DbWservice!D390)</f>
        <v>0</v>
      </c>
    </row>
    <row r="391" spans="1:4" x14ac:dyDescent="0.25">
      <c r="A391" s="1">
        <f>IF(Param!$B$9=1,DbExcel!A391,DbWservice!A391)</f>
        <v>0</v>
      </c>
      <c r="B391" s="1">
        <f>IF(Param!$B$9=1,DbExcel!B391,DbWservice!B391)</f>
        <v>0</v>
      </c>
      <c r="C391" s="1">
        <f>IF(Param!$B$9=1,DbExcel!C391,DbWservice!C391)</f>
        <v>0</v>
      </c>
      <c r="D391" s="1">
        <f>IF(Param!$B$9=1,DbExcel!D391,DbWservice!D391)</f>
        <v>0</v>
      </c>
    </row>
    <row r="392" spans="1:4" x14ac:dyDescent="0.25">
      <c r="A392" s="1">
        <f>IF(Param!$B$9=1,DbExcel!A392,DbWservice!A392)</f>
        <v>0</v>
      </c>
      <c r="B392" s="1">
        <f>IF(Param!$B$9=1,DbExcel!B392,DbWservice!B392)</f>
        <v>0</v>
      </c>
      <c r="C392" s="1">
        <f>IF(Param!$B$9=1,DbExcel!C392,DbWservice!C392)</f>
        <v>0</v>
      </c>
      <c r="D392" s="1">
        <f>IF(Param!$B$9=1,DbExcel!D392,DbWservice!D392)</f>
        <v>0</v>
      </c>
    </row>
    <row r="393" spans="1:4" x14ac:dyDescent="0.25">
      <c r="A393" s="1">
        <f>IF(Param!$B$9=1,DbExcel!A393,DbWservice!A393)</f>
        <v>0</v>
      </c>
      <c r="B393" s="1">
        <f>IF(Param!$B$9=1,DbExcel!B393,DbWservice!B393)</f>
        <v>0</v>
      </c>
      <c r="C393" s="1">
        <f>IF(Param!$B$9=1,DbExcel!C393,DbWservice!C393)</f>
        <v>0</v>
      </c>
      <c r="D393" s="1">
        <f>IF(Param!$B$9=1,DbExcel!D393,DbWservice!D393)</f>
        <v>0</v>
      </c>
    </row>
    <row r="394" spans="1:4" x14ac:dyDescent="0.25">
      <c r="A394" s="1">
        <f>IF(Param!$B$9=1,DbExcel!A394,DbWservice!A394)</f>
        <v>0</v>
      </c>
      <c r="B394" s="1">
        <f>IF(Param!$B$9=1,DbExcel!B394,DbWservice!B394)</f>
        <v>0</v>
      </c>
      <c r="C394" s="1">
        <f>IF(Param!$B$9=1,DbExcel!C394,DbWservice!C394)</f>
        <v>0</v>
      </c>
      <c r="D394" s="1">
        <f>IF(Param!$B$9=1,DbExcel!D394,DbWservice!D394)</f>
        <v>0</v>
      </c>
    </row>
    <row r="395" spans="1:4" x14ac:dyDescent="0.25">
      <c r="A395" s="1">
        <f>IF(Param!$B$9=1,DbExcel!A395,DbWservice!A395)</f>
        <v>0</v>
      </c>
      <c r="B395" s="1">
        <f>IF(Param!$B$9=1,DbExcel!B395,DbWservice!B395)</f>
        <v>0</v>
      </c>
      <c r="C395" s="1">
        <f>IF(Param!$B$9=1,DbExcel!C395,DbWservice!C395)</f>
        <v>0</v>
      </c>
      <c r="D395" s="1">
        <f>IF(Param!$B$9=1,DbExcel!D395,DbWservice!D395)</f>
        <v>0</v>
      </c>
    </row>
    <row r="396" spans="1:4" x14ac:dyDescent="0.25">
      <c r="A396" s="1">
        <f>IF(Param!$B$9=1,DbExcel!A396,DbWservice!A396)</f>
        <v>0</v>
      </c>
      <c r="B396" s="1">
        <f>IF(Param!$B$9=1,DbExcel!B396,DbWservice!B396)</f>
        <v>0</v>
      </c>
      <c r="C396" s="1">
        <f>IF(Param!$B$9=1,DbExcel!C396,DbWservice!C396)</f>
        <v>0</v>
      </c>
      <c r="D396" s="1">
        <f>IF(Param!$B$9=1,DbExcel!D396,DbWservice!D396)</f>
        <v>0</v>
      </c>
    </row>
    <row r="397" spans="1:4" x14ac:dyDescent="0.25">
      <c r="A397" s="1">
        <f>IF(Param!$B$9=1,DbExcel!A397,DbWservice!A397)</f>
        <v>0</v>
      </c>
      <c r="B397" s="1">
        <f>IF(Param!$B$9=1,DbExcel!B397,DbWservice!B397)</f>
        <v>0</v>
      </c>
      <c r="C397" s="1">
        <f>IF(Param!$B$9=1,DbExcel!C397,DbWservice!C397)</f>
        <v>0</v>
      </c>
      <c r="D397" s="1">
        <f>IF(Param!$B$9=1,DbExcel!D397,DbWservice!D397)</f>
        <v>0</v>
      </c>
    </row>
    <row r="398" spans="1:4" x14ac:dyDescent="0.25">
      <c r="A398" s="1">
        <f>IF(Param!$B$9=1,DbExcel!A398,DbWservice!A398)</f>
        <v>0</v>
      </c>
      <c r="B398" s="1">
        <f>IF(Param!$B$9=1,DbExcel!B398,DbWservice!B398)</f>
        <v>0</v>
      </c>
      <c r="C398" s="1">
        <f>IF(Param!$B$9=1,DbExcel!C398,DbWservice!C398)</f>
        <v>0</v>
      </c>
      <c r="D398" s="1">
        <f>IF(Param!$B$9=1,DbExcel!D398,DbWservice!D398)</f>
        <v>0</v>
      </c>
    </row>
    <row r="399" spans="1:4" x14ac:dyDescent="0.25">
      <c r="A399" s="1">
        <f>IF(Param!$B$9=1,DbExcel!A399,DbWservice!A399)</f>
        <v>0</v>
      </c>
      <c r="B399" s="1">
        <f>IF(Param!$B$9=1,DbExcel!B399,DbWservice!B399)</f>
        <v>0</v>
      </c>
      <c r="C399" s="1">
        <f>IF(Param!$B$9=1,DbExcel!C399,DbWservice!C399)</f>
        <v>0</v>
      </c>
      <c r="D399" s="1">
        <f>IF(Param!$B$9=1,DbExcel!D399,DbWservice!D399)</f>
        <v>0</v>
      </c>
    </row>
    <row r="400" spans="1:4" x14ac:dyDescent="0.25">
      <c r="A400" s="1">
        <f>IF(Param!$B$9=1,DbExcel!A400,DbWservice!A400)</f>
        <v>0</v>
      </c>
      <c r="B400" s="1">
        <f>IF(Param!$B$9=1,DbExcel!B400,DbWservice!B400)</f>
        <v>0</v>
      </c>
      <c r="C400" s="1">
        <f>IF(Param!$B$9=1,DbExcel!C400,DbWservice!C400)</f>
        <v>0</v>
      </c>
      <c r="D400" s="1">
        <f>IF(Param!$B$9=1,DbExcel!D400,DbWservice!D400)</f>
        <v>0</v>
      </c>
    </row>
    <row r="401" spans="1:4" x14ac:dyDescent="0.25">
      <c r="A401" s="1">
        <f>IF(Param!$B$9=1,DbExcel!A401,DbWservice!A401)</f>
        <v>0</v>
      </c>
      <c r="B401" s="1">
        <f>IF(Param!$B$9=1,DbExcel!B401,DbWservice!B401)</f>
        <v>0</v>
      </c>
      <c r="C401" s="1">
        <f>IF(Param!$B$9=1,DbExcel!C401,DbWservice!C401)</f>
        <v>0</v>
      </c>
      <c r="D401" s="1">
        <f>IF(Param!$B$9=1,DbExcel!D401,DbWservice!D401)</f>
        <v>0</v>
      </c>
    </row>
    <row r="402" spans="1:4" x14ac:dyDescent="0.25">
      <c r="A402" s="1">
        <f>IF(Param!$B$9=1,DbExcel!A402,DbWservice!A402)</f>
        <v>0</v>
      </c>
      <c r="B402" s="1">
        <f>IF(Param!$B$9=1,DbExcel!B402,DbWservice!B402)</f>
        <v>0</v>
      </c>
      <c r="C402" s="1">
        <f>IF(Param!$B$9=1,DbExcel!C402,DbWservice!C402)</f>
        <v>0</v>
      </c>
      <c r="D402" s="1">
        <f>IF(Param!$B$9=1,DbExcel!D402,DbWservice!D402)</f>
        <v>0</v>
      </c>
    </row>
    <row r="403" spans="1:4" x14ac:dyDescent="0.25">
      <c r="A403" s="1">
        <f>IF(Param!$B$9=1,DbExcel!A403,DbWservice!A403)</f>
        <v>0</v>
      </c>
      <c r="B403" s="1">
        <f>IF(Param!$B$9=1,DbExcel!B403,DbWservice!B403)</f>
        <v>0</v>
      </c>
      <c r="C403" s="1">
        <f>IF(Param!$B$9=1,DbExcel!C403,DbWservice!C403)</f>
        <v>0</v>
      </c>
      <c r="D403" s="1">
        <f>IF(Param!$B$9=1,DbExcel!D403,DbWservice!D403)</f>
        <v>0</v>
      </c>
    </row>
    <row r="404" spans="1:4" x14ac:dyDescent="0.25">
      <c r="A404" s="1">
        <f>IF(Param!$B$9=1,DbExcel!A404,DbWservice!A404)</f>
        <v>0</v>
      </c>
      <c r="B404" s="1">
        <f>IF(Param!$B$9=1,DbExcel!B404,DbWservice!B404)</f>
        <v>0</v>
      </c>
      <c r="C404" s="1">
        <f>IF(Param!$B$9=1,DbExcel!C404,DbWservice!C404)</f>
        <v>0</v>
      </c>
      <c r="D404" s="1">
        <f>IF(Param!$B$9=1,DbExcel!D404,DbWservice!D404)</f>
        <v>0</v>
      </c>
    </row>
    <row r="405" spans="1:4" x14ac:dyDescent="0.25">
      <c r="A405" s="1">
        <f>IF(Param!$B$9=1,DbExcel!A405,DbWservice!A405)</f>
        <v>0</v>
      </c>
      <c r="B405" s="1">
        <f>IF(Param!$B$9=1,DbExcel!B405,DbWservice!B405)</f>
        <v>0</v>
      </c>
      <c r="C405" s="1">
        <f>IF(Param!$B$9=1,DbExcel!C405,DbWservice!C405)</f>
        <v>0</v>
      </c>
      <c r="D405" s="1">
        <f>IF(Param!$B$9=1,DbExcel!D405,DbWservice!D405)</f>
        <v>0</v>
      </c>
    </row>
    <row r="406" spans="1:4" x14ac:dyDescent="0.25">
      <c r="A406" s="1">
        <f>IF(Param!$B$9=1,DbExcel!A406,DbWservice!A406)</f>
        <v>0</v>
      </c>
      <c r="B406" s="1">
        <f>IF(Param!$B$9=1,DbExcel!B406,DbWservice!B406)</f>
        <v>0</v>
      </c>
      <c r="C406" s="1">
        <f>IF(Param!$B$9=1,DbExcel!C406,DbWservice!C406)</f>
        <v>0</v>
      </c>
      <c r="D406" s="1">
        <f>IF(Param!$B$9=1,DbExcel!D406,DbWservice!D406)</f>
        <v>0</v>
      </c>
    </row>
    <row r="407" spans="1:4" x14ac:dyDescent="0.25">
      <c r="A407" s="1">
        <f>IF(Param!$B$9=1,DbExcel!A407,DbWservice!A407)</f>
        <v>0</v>
      </c>
      <c r="B407" s="1">
        <f>IF(Param!$B$9=1,DbExcel!B407,DbWservice!B407)</f>
        <v>0</v>
      </c>
      <c r="C407" s="1">
        <f>IF(Param!$B$9=1,DbExcel!C407,DbWservice!C407)</f>
        <v>0</v>
      </c>
      <c r="D407" s="1">
        <f>IF(Param!$B$9=1,DbExcel!D407,DbWservice!D407)</f>
        <v>0</v>
      </c>
    </row>
    <row r="408" spans="1:4" x14ac:dyDescent="0.25">
      <c r="A408" s="1">
        <f>IF(Param!$B$9=1,DbExcel!A408,DbWservice!A408)</f>
        <v>0</v>
      </c>
      <c r="B408" s="1">
        <f>IF(Param!$B$9=1,DbExcel!B408,DbWservice!B408)</f>
        <v>0</v>
      </c>
      <c r="C408" s="1">
        <f>IF(Param!$B$9=1,DbExcel!C408,DbWservice!C408)</f>
        <v>0</v>
      </c>
      <c r="D408" s="1">
        <f>IF(Param!$B$9=1,DbExcel!D408,DbWservice!D408)</f>
        <v>0</v>
      </c>
    </row>
    <row r="409" spans="1:4" x14ac:dyDescent="0.25">
      <c r="A409" s="1">
        <f>IF(Param!$B$9=1,DbExcel!A409,DbWservice!A409)</f>
        <v>0</v>
      </c>
      <c r="B409" s="1">
        <f>IF(Param!$B$9=1,DbExcel!B409,DbWservice!B409)</f>
        <v>0</v>
      </c>
      <c r="C409" s="1">
        <f>IF(Param!$B$9=1,DbExcel!C409,DbWservice!C409)</f>
        <v>0</v>
      </c>
      <c r="D409" s="1">
        <f>IF(Param!$B$9=1,DbExcel!D409,DbWservice!D409)</f>
        <v>0</v>
      </c>
    </row>
    <row r="410" spans="1:4" x14ac:dyDescent="0.25">
      <c r="A410" s="1">
        <f>IF(Param!$B$9=1,DbExcel!A410,DbWservice!A410)</f>
        <v>0</v>
      </c>
      <c r="B410" s="1">
        <f>IF(Param!$B$9=1,DbExcel!B410,DbWservice!B410)</f>
        <v>0</v>
      </c>
      <c r="C410" s="1">
        <f>IF(Param!$B$9=1,DbExcel!C410,DbWservice!C410)</f>
        <v>0</v>
      </c>
      <c r="D410" s="1">
        <f>IF(Param!$B$9=1,DbExcel!D410,DbWservice!D410)</f>
        <v>0</v>
      </c>
    </row>
    <row r="411" spans="1:4" x14ac:dyDescent="0.25">
      <c r="A411" s="1">
        <f>IF(Param!$B$9=1,DbExcel!A411,DbWservice!A411)</f>
        <v>0</v>
      </c>
      <c r="B411" s="1">
        <f>IF(Param!$B$9=1,DbExcel!B411,DbWservice!B411)</f>
        <v>0</v>
      </c>
      <c r="C411" s="1">
        <f>IF(Param!$B$9=1,DbExcel!C411,DbWservice!C411)</f>
        <v>0</v>
      </c>
      <c r="D411" s="1">
        <f>IF(Param!$B$9=1,DbExcel!D411,DbWservice!D411)</f>
        <v>0</v>
      </c>
    </row>
    <row r="412" spans="1:4" x14ac:dyDescent="0.25">
      <c r="A412" s="1">
        <f>IF(Param!$B$9=1,DbExcel!A412,DbWservice!A412)</f>
        <v>0</v>
      </c>
      <c r="B412" s="1">
        <f>IF(Param!$B$9=1,DbExcel!B412,DbWservice!B412)</f>
        <v>0</v>
      </c>
      <c r="C412" s="1">
        <f>IF(Param!$B$9=1,DbExcel!C412,DbWservice!C412)</f>
        <v>0</v>
      </c>
      <c r="D412" s="1">
        <f>IF(Param!$B$9=1,DbExcel!D412,DbWservice!D412)</f>
        <v>0</v>
      </c>
    </row>
    <row r="413" spans="1:4" x14ac:dyDescent="0.25">
      <c r="A413" s="1">
        <f>IF(Param!$B$9=1,DbExcel!A413,DbWservice!A413)</f>
        <v>0</v>
      </c>
      <c r="B413" s="1">
        <f>IF(Param!$B$9=1,DbExcel!B413,DbWservice!B413)</f>
        <v>0</v>
      </c>
      <c r="C413" s="1">
        <f>IF(Param!$B$9=1,DbExcel!C413,DbWservice!C413)</f>
        <v>0</v>
      </c>
      <c r="D413" s="1">
        <f>IF(Param!$B$9=1,DbExcel!D413,DbWservice!D413)</f>
        <v>0</v>
      </c>
    </row>
    <row r="414" spans="1:4" x14ac:dyDescent="0.25">
      <c r="A414" s="1">
        <f>IF(Param!$B$9=1,DbExcel!A414,DbWservice!A414)</f>
        <v>0</v>
      </c>
      <c r="B414" s="1">
        <f>IF(Param!$B$9=1,DbExcel!B414,DbWservice!B414)</f>
        <v>0</v>
      </c>
      <c r="C414" s="1">
        <f>IF(Param!$B$9=1,DbExcel!C414,DbWservice!C414)</f>
        <v>0</v>
      </c>
      <c r="D414" s="1">
        <f>IF(Param!$B$9=1,DbExcel!D414,DbWservice!D414)</f>
        <v>0</v>
      </c>
    </row>
    <row r="415" spans="1:4" x14ac:dyDescent="0.25">
      <c r="A415" s="1">
        <f>IF(Param!$B$9=1,DbExcel!A415,DbWservice!A415)</f>
        <v>0</v>
      </c>
      <c r="B415" s="1">
        <f>IF(Param!$B$9=1,DbExcel!B415,DbWservice!B415)</f>
        <v>0</v>
      </c>
      <c r="C415" s="1">
        <f>IF(Param!$B$9=1,DbExcel!C415,DbWservice!C415)</f>
        <v>0</v>
      </c>
      <c r="D415" s="1">
        <f>IF(Param!$B$9=1,DbExcel!D415,DbWservice!D415)</f>
        <v>0</v>
      </c>
    </row>
    <row r="416" spans="1:4" x14ac:dyDescent="0.25">
      <c r="A416" s="1">
        <f>IF(Param!$B$9=1,DbExcel!A416,DbWservice!A416)</f>
        <v>0</v>
      </c>
      <c r="B416" s="1">
        <f>IF(Param!$B$9=1,DbExcel!B416,DbWservice!B416)</f>
        <v>0</v>
      </c>
      <c r="C416" s="1">
        <f>IF(Param!$B$9=1,DbExcel!C416,DbWservice!C416)</f>
        <v>0</v>
      </c>
      <c r="D416" s="1">
        <f>IF(Param!$B$9=1,DbExcel!D416,DbWservice!D416)</f>
        <v>0</v>
      </c>
    </row>
    <row r="417" spans="1:4" x14ac:dyDescent="0.25">
      <c r="A417" s="1">
        <f>IF(Param!$B$9=1,DbExcel!A417,DbWservice!A417)</f>
        <v>0</v>
      </c>
      <c r="B417" s="1">
        <f>IF(Param!$B$9=1,DbExcel!B417,DbWservice!B417)</f>
        <v>0</v>
      </c>
      <c r="C417" s="1">
        <f>IF(Param!$B$9=1,DbExcel!C417,DbWservice!C417)</f>
        <v>0</v>
      </c>
      <c r="D417" s="1">
        <f>IF(Param!$B$9=1,DbExcel!D417,DbWservice!D417)</f>
        <v>0</v>
      </c>
    </row>
    <row r="418" spans="1:4" x14ac:dyDescent="0.25">
      <c r="A418" s="1">
        <f>IF(Param!$B$9=1,DbExcel!A418,DbWservice!A418)</f>
        <v>0</v>
      </c>
      <c r="B418" s="1">
        <f>IF(Param!$B$9=1,DbExcel!B418,DbWservice!B418)</f>
        <v>0</v>
      </c>
      <c r="C418" s="1">
        <f>IF(Param!$B$9=1,DbExcel!C418,DbWservice!C418)</f>
        <v>0</v>
      </c>
      <c r="D418" s="1">
        <f>IF(Param!$B$9=1,DbExcel!D418,DbWservice!D418)</f>
        <v>0</v>
      </c>
    </row>
    <row r="419" spans="1:4" x14ac:dyDescent="0.25">
      <c r="A419" s="1">
        <f>IF(Param!$B$9=1,DbExcel!A419,DbWservice!A419)</f>
        <v>0</v>
      </c>
      <c r="B419" s="1">
        <f>IF(Param!$B$9=1,DbExcel!B419,DbWservice!B419)</f>
        <v>0</v>
      </c>
      <c r="C419" s="1">
        <f>IF(Param!$B$9=1,DbExcel!C419,DbWservice!C419)</f>
        <v>0</v>
      </c>
      <c r="D419" s="1">
        <f>IF(Param!$B$9=1,DbExcel!D419,DbWservice!D419)</f>
        <v>0</v>
      </c>
    </row>
    <row r="420" spans="1:4" x14ac:dyDescent="0.25">
      <c r="A420" s="1">
        <f>IF(Param!$B$9=1,DbExcel!A420,DbWservice!A420)</f>
        <v>0</v>
      </c>
      <c r="B420" s="1">
        <f>IF(Param!$B$9=1,DbExcel!B420,DbWservice!B420)</f>
        <v>0</v>
      </c>
      <c r="C420" s="1">
        <f>IF(Param!$B$9=1,DbExcel!C420,DbWservice!C420)</f>
        <v>0</v>
      </c>
      <c r="D420" s="1">
        <f>IF(Param!$B$9=1,DbExcel!D420,DbWservice!D420)</f>
        <v>0</v>
      </c>
    </row>
    <row r="421" spans="1:4" x14ac:dyDescent="0.25">
      <c r="A421" s="1">
        <f>IF(Param!$B$9=1,DbExcel!A421,DbWservice!A421)</f>
        <v>0</v>
      </c>
      <c r="B421" s="1">
        <f>IF(Param!$B$9=1,DbExcel!B421,DbWservice!B421)</f>
        <v>0</v>
      </c>
      <c r="C421" s="1">
        <f>IF(Param!$B$9=1,DbExcel!C421,DbWservice!C421)</f>
        <v>0</v>
      </c>
      <c r="D421" s="1">
        <f>IF(Param!$B$9=1,DbExcel!D421,DbWservice!D421)</f>
        <v>0</v>
      </c>
    </row>
    <row r="422" spans="1:4" x14ac:dyDescent="0.25">
      <c r="A422" s="1">
        <f>IF(Param!$B$9=1,DbExcel!A422,DbWservice!A422)</f>
        <v>0</v>
      </c>
      <c r="B422" s="1">
        <f>IF(Param!$B$9=1,DbExcel!B422,DbWservice!B422)</f>
        <v>0</v>
      </c>
      <c r="C422" s="1">
        <f>IF(Param!$B$9=1,DbExcel!C422,DbWservice!C422)</f>
        <v>0</v>
      </c>
      <c r="D422" s="1">
        <f>IF(Param!$B$9=1,DbExcel!D422,DbWservice!D422)</f>
        <v>0</v>
      </c>
    </row>
    <row r="423" spans="1:4" x14ac:dyDescent="0.25">
      <c r="A423" s="1">
        <f>IF(Param!$B$9=1,DbExcel!A423,DbWservice!A423)</f>
        <v>0</v>
      </c>
      <c r="B423" s="1">
        <f>IF(Param!$B$9=1,DbExcel!B423,DbWservice!B423)</f>
        <v>0</v>
      </c>
      <c r="C423" s="1">
        <f>IF(Param!$B$9=1,DbExcel!C423,DbWservice!C423)</f>
        <v>0</v>
      </c>
      <c r="D423" s="1">
        <f>IF(Param!$B$9=1,DbExcel!D423,DbWservice!D423)</f>
        <v>0</v>
      </c>
    </row>
    <row r="424" spans="1:4" x14ac:dyDescent="0.25">
      <c r="A424" s="1">
        <f>IF(Param!$B$9=1,DbExcel!A424,DbWservice!A424)</f>
        <v>0</v>
      </c>
      <c r="B424" s="1">
        <f>IF(Param!$B$9=1,DbExcel!B424,DbWservice!B424)</f>
        <v>0</v>
      </c>
      <c r="C424" s="1">
        <f>IF(Param!$B$9=1,DbExcel!C424,DbWservice!C424)</f>
        <v>0</v>
      </c>
      <c r="D424" s="1">
        <f>IF(Param!$B$9=1,DbExcel!D424,DbWservice!D424)</f>
        <v>0</v>
      </c>
    </row>
    <row r="425" spans="1:4" x14ac:dyDescent="0.25">
      <c r="A425" s="1">
        <f>IF(Param!$B$9=1,DbExcel!A425,DbWservice!A425)</f>
        <v>0</v>
      </c>
      <c r="B425" s="1">
        <f>IF(Param!$B$9=1,DbExcel!B425,DbWservice!B425)</f>
        <v>0</v>
      </c>
      <c r="C425" s="1">
        <f>IF(Param!$B$9=1,DbExcel!C425,DbWservice!C425)</f>
        <v>0</v>
      </c>
      <c r="D425" s="1">
        <f>IF(Param!$B$9=1,DbExcel!D425,DbWservice!D425)</f>
        <v>0</v>
      </c>
    </row>
    <row r="426" spans="1:4" x14ac:dyDescent="0.25">
      <c r="A426" s="1">
        <f>IF(Param!$B$9=1,DbExcel!A426,DbWservice!A426)</f>
        <v>0</v>
      </c>
      <c r="B426" s="1">
        <f>IF(Param!$B$9=1,DbExcel!B426,DbWservice!B426)</f>
        <v>0</v>
      </c>
      <c r="C426" s="1">
        <f>IF(Param!$B$9=1,DbExcel!C426,DbWservice!C426)</f>
        <v>0</v>
      </c>
      <c r="D426" s="1">
        <f>IF(Param!$B$9=1,DbExcel!D426,DbWservice!D426)</f>
        <v>0</v>
      </c>
    </row>
    <row r="427" spans="1:4" x14ac:dyDescent="0.25">
      <c r="A427" s="1">
        <f>IF(Param!$B$9=1,DbExcel!A427,DbWservice!A427)</f>
        <v>0</v>
      </c>
      <c r="B427" s="1">
        <f>IF(Param!$B$9=1,DbExcel!B427,DbWservice!B427)</f>
        <v>0</v>
      </c>
      <c r="C427" s="1">
        <f>IF(Param!$B$9=1,DbExcel!C427,DbWservice!C427)</f>
        <v>0</v>
      </c>
      <c r="D427" s="1">
        <f>IF(Param!$B$9=1,DbExcel!D427,DbWservice!D427)</f>
        <v>0</v>
      </c>
    </row>
    <row r="428" spans="1:4" x14ac:dyDescent="0.25">
      <c r="A428" s="1">
        <f>IF(Param!$B$9=1,DbExcel!A428,DbWservice!A428)</f>
        <v>0</v>
      </c>
      <c r="B428" s="1">
        <f>IF(Param!$B$9=1,DbExcel!B428,DbWservice!B428)</f>
        <v>0</v>
      </c>
      <c r="C428" s="1">
        <f>IF(Param!$B$9=1,DbExcel!C428,DbWservice!C428)</f>
        <v>0</v>
      </c>
      <c r="D428" s="1">
        <f>IF(Param!$B$9=1,DbExcel!D428,DbWservice!D428)</f>
        <v>0</v>
      </c>
    </row>
    <row r="429" spans="1:4" x14ac:dyDescent="0.25">
      <c r="A429" s="1">
        <f>IF(Param!$B$9=1,DbExcel!A429,DbWservice!A429)</f>
        <v>0</v>
      </c>
      <c r="B429" s="1">
        <f>IF(Param!$B$9=1,DbExcel!B429,DbWservice!B429)</f>
        <v>0</v>
      </c>
      <c r="C429" s="1">
        <f>IF(Param!$B$9=1,DbExcel!C429,DbWservice!C429)</f>
        <v>0</v>
      </c>
      <c r="D429" s="1">
        <f>IF(Param!$B$9=1,DbExcel!D429,DbWservice!D429)</f>
        <v>0</v>
      </c>
    </row>
    <row r="430" spans="1:4" x14ac:dyDescent="0.25">
      <c r="A430" s="1">
        <f>IF(Param!$B$9=1,DbExcel!A430,DbWservice!A430)</f>
        <v>0</v>
      </c>
      <c r="B430" s="1">
        <f>IF(Param!$B$9=1,DbExcel!B430,DbWservice!B430)</f>
        <v>0</v>
      </c>
      <c r="C430" s="1">
        <f>IF(Param!$B$9=1,DbExcel!C430,DbWservice!C430)</f>
        <v>0</v>
      </c>
      <c r="D430" s="1">
        <f>IF(Param!$B$9=1,DbExcel!D430,DbWservice!D430)</f>
        <v>0</v>
      </c>
    </row>
    <row r="431" spans="1:4" x14ac:dyDescent="0.25">
      <c r="A431" s="1">
        <f>IF(Param!$B$9=1,DbExcel!A431,DbWservice!A431)</f>
        <v>0</v>
      </c>
      <c r="B431" s="1">
        <f>IF(Param!$B$9=1,DbExcel!B431,DbWservice!B431)</f>
        <v>0</v>
      </c>
      <c r="C431" s="1">
        <f>IF(Param!$B$9=1,DbExcel!C431,DbWservice!C431)</f>
        <v>0</v>
      </c>
      <c r="D431" s="1">
        <f>IF(Param!$B$9=1,DbExcel!D431,DbWservice!D431)</f>
        <v>0</v>
      </c>
    </row>
    <row r="432" spans="1:4" x14ac:dyDescent="0.25">
      <c r="A432" s="1">
        <f>IF(Param!$B$9=1,DbExcel!A432,DbWservice!A432)</f>
        <v>0</v>
      </c>
      <c r="B432" s="1">
        <f>IF(Param!$B$9=1,DbExcel!B432,DbWservice!B432)</f>
        <v>0</v>
      </c>
      <c r="C432" s="1">
        <f>IF(Param!$B$9=1,DbExcel!C432,DbWservice!C432)</f>
        <v>0</v>
      </c>
      <c r="D432" s="1">
        <f>IF(Param!$B$9=1,DbExcel!D432,DbWservice!D432)</f>
        <v>0</v>
      </c>
    </row>
    <row r="433" spans="1:4" x14ac:dyDescent="0.25">
      <c r="A433" s="1">
        <f>IF(Param!$B$9=1,DbExcel!A433,DbWservice!A433)</f>
        <v>0</v>
      </c>
      <c r="B433" s="1">
        <f>IF(Param!$B$9=1,DbExcel!B433,DbWservice!B433)</f>
        <v>0</v>
      </c>
      <c r="C433" s="1">
        <f>IF(Param!$B$9=1,DbExcel!C433,DbWservice!C433)</f>
        <v>0</v>
      </c>
      <c r="D433" s="1">
        <f>IF(Param!$B$9=1,DbExcel!D433,DbWservice!D433)</f>
        <v>0</v>
      </c>
    </row>
    <row r="434" spans="1:4" x14ac:dyDescent="0.25">
      <c r="A434" s="1">
        <f>IF(Param!$B$9=1,DbExcel!A434,DbWservice!A434)</f>
        <v>0</v>
      </c>
      <c r="B434" s="1">
        <f>IF(Param!$B$9=1,DbExcel!B434,DbWservice!B434)</f>
        <v>0</v>
      </c>
      <c r="C434" s="1">
        <f>IF(Param!$B$9=1,DbExcel!C434,DbWservice!C434)</f>
        <v>0</v>
      </c>
      <c r="D434" s="1">
        <f>IF(Param!$B$9=1,DbExcel!D434,DbWservice!D434)</f>
        <v>0</v>
      </c>
    </row>
    <row r="435" spans="1:4" x14ac:dyDescent="0.25">
      <c r="A435" s="1">
        <f>IF(Param!$B$9=1,DbExcel!A435,DbWservice!A435)</f>
        <v>0</v>
      </c>
      <c r="B435" s="1">
        <f>IF(Param!$B$9=1,DbExcel!B435,DbWservice!B435)</f>
        <v>0</v>
      </c>
      <c r="C435" s="1">
        <f>IF(Param!$B$9=1,DbExcel!C435,DbWservice!C435)</f>
        <v>0</v>
      </c>
      <c r="D435" s="1">
        <f>IF(Param!$B$9=1,DbExcel!D435,DbWservice!D435)</f>
        <v>0</v>
      </c>
    </row>
    <row r="436" spans="1:4" x14ac:dyDescent="0.25">
      <c r="A436" s="1">
        <f>IF(Param!$B$9=1,DbExcel!A436,DbWservice!A436)</f>
        <v>0</v>
      </c>
      <c r="B436" s="1">
        <f>IF(Param!$B$9=1,DbExcel!B436,DbWservice!B436)</f>
        <v>0</v>
      </c>
      <c r="C436" s="1">
        <f>IF(Param!$B$9=1,DbExcel!C436,DbWservice!C436)</f>
        <v>0</v>
      </c>
      <c r="D436" s="1">
        <f>IF(Param!$B$9=1,DbExcel!D436,DbWservice!D436)</f>
        <v>0</v>
      </c>
    </row>
    <row r="437" spans="1:4" x14ac:dyDescent="0.25">
      <c r="A437" s="1">
        <f>IF(Param!$B$9=1,DbExcel!A437,DbWservice!A437)</f>
        <v>0</v>
      </c>
      <c r="B437" s="1">
        <f>IF(Param!$B$9=1,DbExcel!B437,DbWservice!B437)</f>
        <v>0</v>
      </c>
      <c r="C437" s="1">
        <f>IF(Param!$B$9=1,DbExcel!C437,DbWservice!C437)</f>
        <v>0</v>
      </c>
      <c r="D437" s="1">
        <f>IF(Param!$B$9=1,DbExcel!D437,DbWservice!D437)</f>
        <v>0</v>
      </c>
    </row>
    <row r="438" spans="1:4" x14ac:dyDescent="0.25">
      <c r="A438" s="1">
        <f>IF(Param!$B$9=1,DbExcel!A438,DbWservice!A438)</f>
        <v>0</v>
      </c>
      <c r="B438" s="1">
        <f>IF(Param!$B$9=1,DbExcel!B438,DbWservice!B438)</f>
        <v>0</v>
      </c>
      <c r="C438" s="1">
        <f>IF(Param!$B$9=1,DbExcel!C438,DbWservice!C438)</f>
        <v>0</v>
      </c>
      <c r="D438" s="1">
        <f>IF(Param!$B$9=1,DbExcel!D438,DbWservice!D438)</f>
        <v>0</v>
      </c>
    </row>
    <row r="439" spans="1:4" x14ac:dyDescent="0.25">
      <c r="A439" s="1">
        <f>IF(Param!$B$9=1,DbExcel!A439,DbWservice!A439)</f>
        <v>0</v>
      </c>
      <c r="B439" s="1">
        <f>IF(Param!$B$9=1,DbExcel!B439,DbWservice!B439)</f>
        <v>0</v>
      </c>
      <c r="C439" s="1">
        <f>IF(Param!$B$9=1,DbExcel!C439,DbWservice!C439)</f>
        <v>0</v>
      </c>
      <c r="D439" s="1">
        <f>IF(Param!$B$9=1,DbExcel!D439,DbWservice!D439)</f>
        <v>0</v>
      </c>
    </row>
    <row r="440" spans="1:4" x14ac:dyDescent="0.25">
      <c r="A440" s="1">
        <f>IF(Param!$B$9=1,DbExcel!A440,DbWservice!A440)</f>
        <v>0</v>
      </c>
      <c r="B440" s="1">
        <f>IF(Param!$B$9=1,DbExcel!B440,DbWservice!B440)</f>
        <v>0</v>
      </c>
      <c r="C440" s="1">
        <f>IF(Param!$B$9=1,DbExcel!C440,DbWservice!C440)</f>
        <v>0</v>
      </c>
      <c r="D440" s="1">
        <f>IF(Param!$B$9=1,DbExcel!D440,DbWservice!D440)</f>
        <v>0</v>
      </c>
    </row>
    <row r="441" spans="1:4" x14ac:dyDescent="0.25">
      <c r="A441" s="1">
        <f>IF(Param!$B$9=1,DbExcel!A441,DbWservice!A441)</f>
        <v>0</v>
      </c>
      <c r="B441" s="1">
        <f>IF(Param!$B$9=1,DbExcel!B441,DbWservice!B441)</f>
        <v>0</v>
      </c>
      <c r="C441" s="1">
        <f>IF(Param!$B$9=1,DbExcel!C441,DbWservice!C441)</f>
        <v>0</v>
      </c>
      <c r="D441" s="1">
        <f>IF(Param!$B$9=1,DbExcel!D441,DbWservice!D441)</f>
        <v>0</v>
      </c>
    </row>
    <row r="442" spans="1:4" x14ac:dyDescent="0.25">
      <c r="A442" s="1">
        <f>IF(Param!$B$9=1,DbExcel!A442,DbWservice!A442)</f>
        <v>0</v>
      </c>
      <c r="B442" s="1">
        <f>IF(Param!$B$9=1,DbExcel!B442,DbWservice!B442)</f>
        <v>0</v>
      </c>
      <c r="C442" s="1">
        <f>IF(Param!$B$9=1,DbExcel!C442,DbWservice!C442)</f>
        <v>0</v>
      </c>
      <c r="D442" s="1">
        <f>IF(Param!$B$9=1,DbExcel!D442,DbWservice!D442)</f>
        <v>0</v>
      </c>
    </row>
    <row r="443" spans="1:4" x14ac:dyDescent="0.25">
      <c r="A443" s="1">
        <f>IF(Param!$B$9=1,DbExcel!A443,DbWservice!A443)</f>
        <v>0</v>
      </c>
      <c r="B443" s="1">
        <f>IF(Param!$B$9=1,DbExcel!B443,DbWservice!B443)</f>
        <v>0</v>
      </c>
      <c r="C443" s="1">
        <f>IF(Param!$B$9=1,DbExcel!C443,DbWservice!C443)</f>
        <v>0</v>
      </c>
      <c r="D443" s="1">
        <f>IF(Param!$B$9=1,DbExcel!D443,DbWservice!D443)</f>
        <v>0</v>
      </c>
    </row>
    <row r="444" spans="1:4" x14ac:dyDescent="0.25">
      <c r="A444" s="1">
        <f>IF(Param!$B$9=1,DbExcel!A444,DbWservice!A444)</f>
        <v>0</v>
      </c>
      <c r="B444" s="1">
        <f>IF(Param!$B$9=1,DbExcel!B444,DbWservice!B444)</f>
        <v>0</v>
      </c>
      <c r="C444" s="1">
        <f>IF(Param!$B$9=1,DbExcel!C444,DbWservice!C444)</f>
        <v>0</v>
      </c>
      <c r="D444" s="1">
        <f>IF(Param!$B$9=1,DbExcel!D444,DbWservice!D444)</f>
        <v>0</v>
      </c>
    </row>
    <row r="445" spans="1:4" x14ac:dyDescent="0.25">
      <c r="A445" s="1">
        <f>IF(Param!$B$9=1,DbExcel!A445,DbWservice!A445)</f>
        <v>0</v>
      </c>
      <c r="B445" s="1">
        <f>IF(Param!$B$9=1,DbExcel!B445,DbWservice!B445)</f>
        <v>0</v>
      </c>
      <c r="C445" s="1">
        <f>IF(Param!$B$9=1,DbExcel!C445,DbWservice!C445)</f>
        <v>0</v>
      </c>
      <c r="D445" s="1">
        <f>IF(Param!$B$9=1,DbExcel!D445,DbWservice!D445)</f>
        <v>0</v>
      </c>
    </row>
    <row r="446" spans="1:4" x14ac:dyDescent="0.25">
      <c r="A446" s="1">
        <f>IF(Param!$B$9=1,DbExcel!A446,DbWservice!A446)</f>
        <v>0</v>
      </c>
      <c r="B446" s="1">
        <f>IF(Param!$B$9=1,DbExcel!B446,DbWservice!B446)</f>
        <v>0</v>
      </c>
      <c r="C446" s="1">
        <f>IF(Param!$B$9=1,DbExcel!C446,DbWservice!C446)</f>
        <v>0</v>
      </c>
      <c r="D446" s="1">
        <f>IF(Param!$B$9=1,DbExcel!D446,DbWservice!D446)</f>
        <v>0</v>
      </c>
    </row>
    <row r="447" spans="1:4" x14ac:dyDescent="0.25">
      <c r="A447" s="1">
        <f>IF(Param!$B$9=1,DbExcel!A447,DbWservice!A447)</f>
        <v>0</v>
      </c>
      <c r="B447" s="1">
        <f>IF(Param!$B$9=1,DbExcel!B447,DbWservice!B447)</f>
        <v>0</v>
      </c>
      <c r="C447" s="1">
        <f>IF(Param!$B$9=1,DbExcel!C447,DbWservice!C447)</f>
        <v>0</v>
      </c>
      <c r="D447" s="1">
        <f>IF(Param!$B$9=1,DbExcel!D447,DbWservice!D447)</f>
        <v>0</v>
      </c>
    </row>
    <row r="448" spans="1:4" x14ac:dyDescent="0.25">
      <c r="A448" s="1">
        <f>IF(Param!$B$9=1,DbExcel!A448,DbWservice!A448)</f>
        <v>0</v>
      </c>
      <c r="B448" s="1">
        <f>IF(Param!$B$9=1,DbExcel!B448,DbWservice!B448)</f>
        <v>0</v>
      </c>
      <c r="C448" s="1">
        <f>IF(Param!$B$9=1,DbExcel!C448,DbWservice!C448)</f>
        <v>0</v>
      </c>
      <c r="D448" s="1">
        <f>IF(Param!$B$9=1,DbExcel!D448,DbWservice!D448)</f>
        <v>0</v>
      </c>
    </row>
    <row r="449" spans="1:4" x14ac:dyDescent="0.25">
      <c r="A449" s="1">
        <f>IF(Param!$B$9=1,DbExcel!A449,DbWservice!A449)</f>
        <v>0</v>
      </c>
      <c r="B449" s="1">
        <f>IF(Param!$B$9=1,DbExcel!B449,DbWservice!B449)</f>
        <v>0</v>
      </c>
      <c r="C449" s="1">
        <f>IF(Param!$B$9=1,DbExcel!C449,DbWservice!C449)</f>
        <v>0</v>
      </c>
      <c r="D449" s="1">
        <f>IF(Param!$B$9=1,DbExcel!D449,DbWservice!D449)</f>
        <v>0</v>
      </c>
    </row>
    <row r="450" spans="1:4" x14ac:dyDescent="0.25">
      <c r="A450" s="1">
        <f>IF(Param!$B$9=1,DbExcel!A450,DbWservice!A450)</f>
        <v>0</v>
      </c>
      <c r="B450" s="1">
        <f>IF(Param!$B$9=1,DbExcel!B450,DbWservice!B450)</f>
        <v>0</v>
      </c>
      <c r="C450" s="1">
        <f>IF(Param!$B$9=1,DbExcel!C450,DbWservice!C450)</f>
        <v>0</v>
      </c>
      <c r="D450" s="1">
        <f>IF(Param!$B$9=1,DbExcel!D450,DbWservice!D450)</f>
        <v>0</v>
      </c>
    </row>
    <row r="451" spans="1:4" x14ac:dyDescent="0.25">
      <c r="A451" s="1">
        <f>IF(Param!$B$9=1,DbExcel!A451,DbWservice!A451)</f>
        <v>0</v>
      </c>
      <c r="B451" s="1">
        <f>IF(Param!$B$9=1,DbExcel!B451,DbWservice!B451)</f>
        <v>0</v>
      </c>
      <c r="C451" s="1">
        <f>IF(Param!$B$9=1,DbExcel!C451,DbWservice!C451)</f>
        <v>0</v>
      </c>
      <c r="D451" s="1">
        <f>IF(Param!$B$9=1,DbExcel!D451,DbWservice!D451)</f>
        <v>0</v>
      </c>
    </row>
    <row r="452" spans="1:4" x14ac:dyDescent="0.25">
      <c r="A452" s="1">
        <f>IF(Param!$B$9=1,DbExcel!A452,DbWservice!A452)</f>
        <v>0</v>
      </c>
      <c r="B452" s="1">
        <f>IF(Param!$B$9=1,DbExcel!B452,DbWservice!B452)</f>
        <v>0</v>
      </c>
      <c r="C452" s="1">
        <f>IF(Param!$B$9=1,DbExcel!C452,DbWservice!C452)</f>
        <v>0</v>
      </c>
      <c r="D452" s="1">
        <f>IF(Param!$B$9=1,DbExcel!D452,DbWservice!D452)</f>
        <v>0</v>
      </c>
    </row>
    <row r="453" spans="1:4" x14ac:dyDescent="0.25">
      <c r="A453" s="1">
        <f>IF(Param!$B$9=1,DbExcel!A453,DbWservice!A453)</f>
        <v>0</v>
      </c>
      <c r="B453" s="1">
        <f>IF(Param!$B$9=1,DbExcel!B453,DbWservice!B453)</f>
        <v>0</v>
      </c>
      <c r="C453" s="1">
        <f>IF(Param!$B$9=1,DbExcel!C453,DbWservice!C453)</f>
        <v>0</v>
      </c>
      <c r="D453" s="1">
        <f>IF(Param!$B$9=1,DbExcel!D453,DbWservice!D453)</f>
        <v>0</v>
      </c>
    </row>
    <row r="454" spans="1:4" x14ac:dyDescent="0.25">
      <c r="A454" s="1">
        <f>IF(Param!$B$9=1,DbExcel!A454,DbWservice!A454)</f>
        <v>0</v>
      </c>
      <c r="B454" s="1">
        <f>IF(Param!$B$9=1,DbExcel!B454,DbWservice!B454)</f>
        <v>0</v>
      </c>
      <c r="C454" s="1">
        <f>IF(Param!$B$9=1,DbExcel!C454,DbWservice!C454)</f>
        <v>0</v>
      </c>
      <c r="D454" s="1">
        <f>IF(Param!$B$9=1,DbExcel!D454,DbWservice!D454)</f>
        <v>0</v>
      </c>
    </row>
    <row r="455" spans="1:4" x14ac:dyDescent="0.25">
      <c r="A455" s="1">
        <f>IF(Param!$B$9=1,DbExcel!A455,DbWservice!A455)</f>
        <v>0</v>
      </c>
      <c r="B455" s="1">
        <f>IF(Param!$B$9=1,DbExcel!B455,DbWservice!B455)</f>
        <v>0</v>
      </c>
      <c r="C455" s="1">
        <f>IF(Param!$B$9=1,DbExcel!C455,DbWservice!C455)</f>
        <v>0</v>
      </c>
      <c r="D455" s="1">
        <f>IF(Param!$B$9=1,DbExcel!D455,DbWservice!D455)</f>
        <v>0</v>
      </c>
    </row>
    <row r="456" spans="1:4" x14ac:dyDescent="0.25">
      <c r="A456" s="1">
        <f>IF(Param!$B$9=1,DbExcel!A456,DbWservice!A456)</f>
        <v>0</v>
      </c>
      <c r="B456" s="1">
        <f>IF(Param!$B$9=1,DbExcel!B456,DbWservice!B456)</f>
        <v>0</v>
      </c>
      <c r="C456" s="1">
        <f>IF(Param!$B$9=1,DbExcel!C456,DbWservice!C456)</f>
        <v>0</v>
      </c>
      <c r="D456" s="1">
        <f>IF(Param!$B$9=1,DbExcel!D456,DbWservice!D456)</f>
        <v>0</v>
      </c>
    </row>
    <row r="457" spans="1:4" x14ac:dyDescent="0.25">
      <c r="A457" s="1">
        <f>IF(Param!$B$9=1,DbExcel!A457,DbWservice!A457)</f>
        <v>0</v>
      </c>
      <c r="B457" s="1">
        <f>IF(Param!$B$9=1,DbExcel!B457,DbWservice!B457)</f>
        <v>0</v>
      </c>
      <c r="C457" s="1">
        <f>IF(Param!$B$9=1,DbExcel!C457,DbWservice!C457)</f>
        <v>0</v>
      </c>
      <c r="D457" s="1">
        <f>IF(Param!$B$9=1,DbExcel!D457,DbWservice!D457)</f>
        <v>0</v>
      </c>
    </row>
    <row r="458" spans="1:4" x14ac:dyDescent="0.25">
      <c r="A458" s="1">
        <f>IF(Param!$B$9=1,DbExcel!A458,DbWservice!A458)</f>
        <v>0</v>
      </c>
      <c r="B458" s="1">
        <f>IF(Param!$B$9=1,DbExcel!B458,DbWservice!B458)</f>
        <v>0</v>
      </c>
      <c r="C458" s="1">
        <f>IF(Param!$B$9=1,DbExcel!C458,DbWservice!C458)</f>
        <v>0</v>
      </c>
      <c r="D458" s="1">
        <f>IF(Param!$B$9=1,DbExcel!D458,DbWservice!D458)</f>
        <v>0</v>
      </c>
    </row>
    <row r="459" spans="1:4" x14ac:dyDescent="0.25">
      <c r="A459" s="1">
        <f>IF(Param!$B$9=1,DbExcel!A459,DbWservice!A459)</f>
        <v>0</v>
      </c>
      <c r="B459" s="1">
        <f>IF(Param!$B$9=1,DbExcel!B459,DbWservice!B459)</f>
        <v>0</v>
      </c>
      <c r="C459" s="1">
        <f>IF(Param!$B$9=1,DbExcel!C459,DbWservice!C459)</f>
        <v>0</v>
      </c>
      <c r="D459" s="1">
        <f>IF(Param!$B$9=1,DbExcel!D459,DbWservice!D459)</f>
        <v>0</v>
      </c>
    </row>
    <row r="460" spans="1:4" x14ac:dyDescent="0.25">
      <c r="A460" s="1">
        <f>IF(Param!$B$9=1,DbExcel!A460,DbWservice!A460)</f>
        <v>0</v>
      </c>
      <c r="B460" s="1">
        <f>IF(Param!$B$9=1,DbExcel!B460,DbWservice!B460)</f>
        <v>0</v>
      </c>
      <c r="C460" s="1">
        <f>IF(Param!$B$9=1,DbExcel!C460,DbWservice!C460)</f>
        <v>0</v>
      </c>
      <c r="D460" s="1">
        <f>IF(Param!$B$9=1,DbExcel!D460,DbWservice!D460)</f>
        <v>0</v>
      </c>
    </row>
    <row r="461" spans="1:4" x14ac:dyDescent="0.25">
      <c r="A461" s="1">
        <f>IF(Param!$B$9=1,DbExcel!A461,DbWservice!A461)</f>
        <v>0</v>
      </c>
      <c r="B461" s="1">
        <f>IF(Param!$B$9=1,DbExcel!B461,DbWservice!B461)</f>
        <v>0</v>
      </c>
      <c r="C461" s="1">
        <f>IF(Param!$B$9=1,DbExcel!C461,DbWservice!C461)</f>
        <v>0</v>
      </c>
      <c r="D461" s="1">
        <f>IF(Param!$B$9=1,DbExcel!D461,DbWservice!D461)</f>
        <v>0</v>
      </c>
    </row>
    <row r="462" spans="1:4" x14ac:dyDescent="0.25">
      <c r="A462" s="1">
        <f>IF(Param!$B$9=1,DbExcel!A462,DbWservice!A462)</f>
        <v>0</v>
      </c>
      <c r="B462" s="1">
        <f>IF(Param!$B$9=1,DbExcel!B462,DbWservice!B462)</f>
        <v>0</v>
      </c>
      <c r="C462" s="1">
        <f>IF(Param!$B$9=1,DbExcel!C462,DbWservice!C462)</f>
        <v>0</v>
      </c>
      <c r="D462" s="1">
        <f>IF(Param!$B$9=1,DbExcel!D462,DbWservice!D462)</f>
        <v>0</v>
      </c>
    </row>
    <row r="463" spans="1:4" x14ac:dyDescent="0.25">
      <c r="A463" s="1">
        <f>IF(Param!$B$9=1,DbExcel!A463,DbWservice!A463)</f>
        <v>0</v>
      </c>
      <c r="B463" s="1">
        <f>IF(Param!$B$9=1,DbExcel!B463,DbWservice!B463)</f>
        <v>0</v>
      </c>
      <c r="C463" s="1">
        <f>IF(Param!$B$9=1,DbExcel!C463,DbWservice!C463)</f>
        <v>0</v>
      </c>
      <c r="D463" s="1">
        <f>IF(Param!$B$9=1,DbExcel!D463,DbWservice!D463)</f>
        <v>0</v>
      </c>
    </row>
    <row r="464" spans="1:4" x14ac:dyDescent="0.25">
      <c r="A464" s="1">
        <f>IF(Param!$B$9=1,DbExcel!A464,DbWservice!A464)</f>
        <v>0</v>
      </c>
      <c r="B464" s="1">
        <f>IF(Param!$B$9=1,DbExcel!B464,DbWservice!B464)</f>
        <v>0</v>
      </c>
      <c r="C464" s="1">
        <f>IF(Param!$B$9=1,DbExcel!C464,DbWservice!C464)</f>
        <v>0</v>
      </c>
      <c r="D464" s="1">
        <f>IF(Param!$B$9=1,DbExcel!D464,DbWservice!D464)</f>
        <v>0</v>
      </c>
    </row>
    <row r="465" spans="1:4" x14ac:dyDescent="0.25">
      <c r="A465" s="1">
        <f>IF(Param!$B$9=1,DbExcel!A465,DbWservice!A465)</f>
        <v>0</v>
      </c>
      <c r="B465" s="1">
        <f>IF(Param!$B$9=1,DbExcel!B465,DbWservice!B465)</f>
        <v>0</v>
      </c>
      <c r="C465" s="1">
        <f>IF(Param!$B$9=1,DbExcel!C465,DbWservice!C465)</f>
        <v>0</v>
      </c>
      <c r="D465" s="1">
        <f>IF(Param!$B$9=1,DbExcel!D465,DbWservice!D465)</f>
        <v>0</v>
      </c>
    </row>
    <row r="466" spans="1:4" x14ac:dyDescent="0.25">
      <c r="A466" s="1">
        <f>IF(Param!$B$9=1,DbExcel!A466,DbWservice!A466)</f>
        <v>0</v>
      </c>
      <c r="B466" s="1">
        <f>IF(Param!$B$9=1,DbExcel!B466,DbWservice!B466)</f>
        <v>0</v>
      </c>
      <c r="C466" s="1">
        <f>IF(Param!$B$9=1,DbExcel!C466,DbWservice!C466)</f>
        <v>0</v>
      </c>
      <c r="D466" s="1">
        <f>IF(Param!$B$9=1,DbExcel!D466,DbWservice!D466)</f>
        <v>0</v>
      </c>
    </row>
    <row r="467" spans="1:4" x14ac:dyDescent="0.25">
      <c r="A467" s="1">
        <f>IF(Param!$B$9=1,DbExcel!A467,DbWservice!A467)</f>
        <v>0</v>
      </c>
      <c r="B467" s="1">
        <f>IF(Param!$B$9=1,DbExcel!B467,DbWservice!B467)</f>
        <v>0</v>
      </c>
      <c r="C467" s="1">
        <f>IF(Param!$B$9=1,DbExcel!C467,DbWservice!C467)</f>
        <v>0</v>
      </c>
      <c r="D467" s="1">
        <f>IF(Param!$B$9=1,DbExcel!D467,DbWservice!D467)</f>
        <v>0</v>
      </c>
    </row>
    <row r="468" spans="1:4" x14ac:dyDescent="0.25">
      <c r="A468" s="1">
        <f>IF(Param!$B$9=1,DbExcel!A468,DbWservice!A468)</f>
        <v>0</v>
      </c>
      <c r="B468" s="1">
        <f>IF(Param!$B$9=1,DbExcel!B468,DbWservice!B468)</f>
        <v>0</v>
      </c>
      <c r="C468" s="1">
        <f>IF(Param!$B$9=1,DbExcel!C468,DbWservice!C468)</f>
        <v>0</v>
      </c>
      <c r="D468" s="1">
        <f>IF(Param!$B$9=1,DbExcel!D468,DbWservice!D468)</f>
        <v>0</v>
      </c>
    </row>
    <row r="469" spans="1:4" x14ac:dyDescent="0.25">
      <c r="A469" s="1">
        <f>IF(Param!$B$9=1,DbExcel!A469,DbWservice!A469)</f>
        <v>0</v>
      </c>
      <c r="B469" s="1">
        <f>IF(Param!$B$9=1,DbExcel!B469,DbWservice!B469)</f>
        <v>0</v>
      </c>
      <c r="C469" s="1">
        <f>IF(Param!$B$9=1,DbExcel!C469,DbWservice!C469)</f>
        <v>0</v>
      </c>
      <c r="D469" s="1">
        <f>IF(Param!$B$9=1,DbExcel!D469,DbWservice!D469)</f>
        <v>0</v>
      </c>
    </row>
    <row r="470" spans="1:4" x14ac:dyDescent="0.25">
      <c r="A470" s="1">
        <f>IF(Param!$B$9=1,DbExcel!A470,DbWservice!A470)</f>
        <v>0</v>
      </c>
      <c r="B470" s="1">
        <f>IF(Param!$B$9=1,DbExcel!B470,DbWservice!B470)</f>
        <v>0</v>
      </c>
      <c r="C470" s="1">
        <f>IF(Param!$B$9=1,DbExcel!C470,DbWservice!C470)</f>
        <v>0</v>
      </c>
      <c r="D470" s="1">
        <f>IF(Param!$B$9=1,DbExcel!D470,DbWservice!D470)</f>
        <v>0</v>
      </c>
    </row>
    <row r="471" spans="1:4" x14ac:dyDescent="0.25">
      <c r="A471" s="1">
        <f>IF(Param!$B$9=1,DbExcel!A471,DbWservice!A471)</f>
        <v>0</v>
      </c>
      <c r="B471" s="1">
        <f>IF(Param!$B$9=1,DbExcel!B471,DbWservice!B471)</f>
        <v>0</v>
      </c>
      <c r="C471" s="1">
        <f>IF(Param!$B$9=1,DbExcel!C471,DbWservice!C471)</f>
        <v>0</v>
      </c>
      <c r="D471" s="1">
        <f>IF(Param!$B$9=1,DbExcel!D471,DbWservice!D471)</f>
        <v>0</v>
      </c>
    </row>
    <row r="472" spans="1:4" x14ac:dyDescent="0.25">
      <c r="A472" s="1">
        <f>IF(Param!$B$9=1,DbExcel!A472,DbWservice!A472)</f>
        <v>0</v>
      </c>
      <c r="B472" s="1">
        <f>IF(Param!$B$9=1,DbExcel!B472,DbWservice!B472)</f>
        <v>0</v>
      </c>
      <c r="C472" s="1">
        <f>IF(Param!$B$9=1,DbExcel!C472,DbWservice!C472)</f>
        <v>0</v>
      </c>
      <c r="D472" s="1">
        <f>IF(Param!$B$9=1,DbExcel!D472,DbWservice!D472)</f>
        <v>0</v>
      </c>
    </row>
    <row r="473" spans="1:4" x14ac:dyDescent="0.25">
      <c r="A473" s="1">
        <f>IF(Param!$B$9=1,DbExcel!A473,DbWservice!A473)</f>
        <v>0</v>
      </c>
      <c r="B473" s="1">
        <f>IF(Param!$B$9=1,DbExcel!B473,DbWservice!B473)</f>
        <v>0</v>
      </c>
      <c r="C473" s="1">
        <f>IF(Param!$B$9=1,DbExcel!C473,DbWservice!C473)</f>
        <v>0</v>
      </c>
      <c r="D473" s="1">
        <f>IF(Param!$B$9=1,DbExcel!D473,DbWservice!D473)</f>
        <v>0</v>
      </c>
    </row>
    <row r="474" spans="1:4" x14ac:dyDescent="0.25">
      <c r="A474" s="1">
        <f>IF(Param!$B$9=1,DbExcel!A474,DbWservice!A474)</f>
        <v>0</v>
      </c>
      <c r="B474" s="1">
        <f>IF(Param!$B$9=1,DbExcel!B474,DbWservice!B474)</f>
        <v>0</v>
      </c>
      <c r="C474" s="1">
        <f>IF(Param!$B$9=1,DbExcel!C474,DbWservice!C474)</f>
        <v>0</v>
      </c>
      <c r="D474" s="1">
        <f>IF(Param!$B$9=1,DbExcel!D474,DbWservice!D474)</f>
        <v>0</v>
      </c>
    </row>
    <row r="475" spans="1:4" x14ac:dyDescent="0.25">
      <c r="A475" s="1">
        <f>IF(Param!$B$9=1,DbExcel!A475,DbWservice!A475)</f>
        <v>0</v>
      </c>
      <c r="B475" s="1">
        <f>IF(Param!$B$9=1,DbExcel!B475,DbWservice!B475)</f>
        <v>0</v>
      </c>
      <c r="C475" s="1">
        <f>IF(Param!$B$9=1,DbExcel!C475,DbWservice!C475)</f>
        <v>0</v>
      </c>
      <c r="D475" s="1">
        <f>IF(Param!$B$9=1,DbExcel!D475,DbWservice!D475)</f>
        <v>0</v>
      </c>
    </row>
    <row r="476" spans="1:4" x14ac:dyDescent="0.25">
      <c r="A476" s="1">
        <f>IF(Param!$B$9=1,DbExcel!A476,DbWservice!A476)</f>
        <v>0</v>
      </c>
      <c r="B476" s="1">
        <f>IF(Param!$B$9=1,DbExcel!B476,DbWservice!B476)</f>
        <v>0</v>
      </c>
      <c r="C476" s="1">
        <f>IF(Param!$B$9=1,DbExcel!C476,DbWservice!C476)</f>
        <v>0</v>
      </c>
      <c r="D476" s="1">
        <f>IF(Param!$B$9=1,DbExcel!D476,DbWservice!D476)</f>
        <v>0</v>
      </c>
    </row>
    <row r="477" spans="1:4" x14ac:dyDescent="0.25">
      <c r="A477" s="1">
        <f>IF(Param!$B$9=1,DbExcel!A477,DbWservice!A477)</f>
        <v>0</v>
      </c>
      <c r="B477" s="1">
        <f>IF(Param!$B$9=1,DbExcel!B477,DbWservice!B477)</f>
        <v>0</v>
      </c>
      <c r="C477" s="1">
        <f>IF(Param!$B$9=1,DbExcel!C477,DbWservice!C477)</f>
        <v>0</v>
      </c>
      <c r="D477" s="1">
        <f>IF(Param!$B$9=1,DbExcel!D477,DbWservice!D477)</f>
        <v>0</v>
      </c>
    </row>
    <row r="478" spans="1:4" x14ac:dyDescent="0.25">
      <c r="A478" s="1">
        <f>IF(Param!$B$9=1,DbExcel!A478,DbWservice!A478)</f>
        <v>0</v>
      </c>
      <c r="B478" s="1">
        <f>IF(Param!$B$9=1,DbExcel!B478,DbWservice!B478)</f>
        <v>0</v>
      </c>
      <c r="C478" s="1">
        <f>IF(Param!$B$9=1,DbExcel!C478,DbWservice!C478)</f>
        <v>0</v>
      </c>
      <c r="D478" s="1">
        <f>IF(Param!$B$9=1,DbExcel!D478,DbWservice!D478)</f>
        <v>0</v>
      </c>
    </row>
    <row r="479" spans="1:4" x14ac:dyDescent="0.25">
      <c r="A479" s="1">
        <f>IF(Param!$B$9=1,DbExcel!A479,DbWservice!A479)</f>
        <v>0</v>
      </c>
      <c r="B479" s="1">
        <f>IF(Param!$B$9=1,DbExcel!B479,DbWservice!B479)</f>
        <v>0</v>
      </c>
      <c r="C479" s="1">
        <f>IF(Param!$B$9=1,DbExcel!C479,DbWservice!C479)</f>
        <v>0</v>
      </c>
      <c r="D479" s="1">
        <f>IF(Param!$B$9=1,DbExcel!D479,DbWservice!D479)</f>
        <v>0</v>
      </c>
    </row>
    <row r="480" spans="1:4" x14ac:dyDescent="0.25">
      <c r="A480" s="1">
        <f>IF(Param!$B$9=1,DbExcel!A480,DbWservice!A480)</f>
        <v>0</v>
      </c>
      <c r="B480" s="1">
        <f>IF(Param!$B$9=1,DbExcel!B480,DbWservice!B480)</f>
        <v>0</v>
      </c>
      <c r="C480" s="1">
        <f>IF(Param!$B$9=1,DbExcel!C480,DbWservice!C480)</f>
        <v>0</v>
      </c>
      <c r="D480" s="1">
        <f>IF(Param!$B$9=1,DbExcel!D480,DbWservice!D480)</f>
        <v>0</v>
      </c>
    </row>
    <row r="481" spans="1:4" x14ac:dyDescent="0.25">
      <c r="A481" s="1">
        <f>IF(Param!$B$9=1,DbExcel!A481,DbWservice!A481)</f>
        <v>0</v>
      </c>
      <c r="B481" s="1">
        <f>IF(Param!$B$9=1,DbExcel!B481,DbWservice!B481)</f>
        <v>0</v>
      </c>
      <c r="C481" s="1">
        <f>IF(Param!$B$9=1,DbExcel!C481,DbWservice!C481)</f>
        <v>0</v>
      </c>
      <c r="D481" s="1">
        <f>IF(Param!$B$9=1,DbExcel!D481,DbWservice!D481)</f>
        <v>0</v>
      </c>
    </row>
    <row r="482" spans="1:4" x14ac:dyDescent="0.25">
      <c r="A482" s="1">
        <f>IF(Param!$B$9=1,DbExcel!A482,DbWservice!A482)</f>
        <v>0</v>
      </c>
      <c r="B482" s="1">
        <f>IF(Param!$B$9=1,DbExcel!B482,DbWservice!B482)</f>
        <v>0</v>
      </c>
      <c r="C482" s="1">
        <f>IF(Param!$B$9=1,DbExcel!C482,DbWservice!C482)</f>
        <v>0</v>
      </c>
      <c r="D482" s="1">
        <f>IF(Param!$B$9=1,DbExcel!D482,DbWservice!D482)</f>
        <v>0</v>
      </c>
    </row>
    <row r="483" spans="1:4" x14ac:dyDescent="0.25">
      <c r="A483" s="1">
        <f>IF(Param!$B$9=1,DbExcel!A483,DbWservice!A483)</f>
        <v>0</v>
      </c>
      <c r="B483" s="1">
        <f>IF(Param!$B$9=1,DbExcel!B483,DbWservice!B483)</f>
        <v>0</v>
      </c>
      <c r="C483" s="1">
        <f>IF(Param!$B$9=1,DbExcel!C483,DbWservice!C483)</f>
        <v>0</v>
      </c>
      <c r="D483" s="1">
        <f>IF(Param!$B$9=1,DbExcel!D483,DbWservice!D483)</f>
        <v>0</v>
      </c>
    </row>
    <row r="484" spans="1:4" x14ac:dyDescent="0.25">
      <c r="A484" s="1">
        <f>IF(Param!$B$9=1,DbExcel!A484,DbWservice!A484)</f>
        <v>0</v>
      </c>
      <c r="B484" s="1">
        <f>IF(Param!$B$9=1,DbExcel!B484,DbWservice!B484)</f>
        <v>0</v>
      </c>
      <c r="C484" s="1">
        <f>IF(Param!$B$9=1,DbExcel!C484,DbWservice!C484)</f>
        <v>0</v>
      </c>
      <c r="D484" s="1">
        <f>IF(Param!$B$9=1,DbExcel!D484,DbWservice!D484)</f>
        <v>0</v>
      </c>
    </row>
    <row r="485" spans="1:4" x14ac:dyDescent="0.25">
      <c r="A485" s="1">
        <f>IF(Param!$B$9=1,DbExcel!A485,DbWservice!A485)</f>
        <v>0</v>
      </c>
      <c r="B485" s="1">
        <f>IF(Param!$B$9=1,DbExcel!B485,DbWservice!B485)</f>
        <v>0</v>
      </c>
      <c r="C485" s="1">
        <f>IF(Param!$B$9=1,DbExcel!C485,DbWservice!C485)</f>
        <v>0</v>
      </c>
      <c r="D485" s="1">
        <f>IF(Param!$B$9=1,DbExcel!D485,DbWservice!D485)</f>
        <v>0</v>
      </c>
    </row>
    <row r="486" spans="1:4" x14ac:dyDescent="0.25">
      <c r="A486" s="1">
        <f>IF(Param!$B$9=1,DbExcel!A486,DbWservice!A486)</f>
        <v>0</v>
      </c>
      <c r="B486" s="1">
        <f>IF(Param!$B$9=1,DbExcel!B486,DbWservice!B486)</f>
        <v>0</v>
      </c>
      <c r="C486" s="1">
        <f>IF(Param!$B$9=1,DbExcel!C486,DbWservice!C486)</f>
        <v>0</v>
      </c>
      <c r="D486" s="1">
        <f>IF(Param!$B$9=1,DbExcel!D486,DbWservice!D486)</f>
        <v>0</v>
      </c>
    </row>
    <row r="487" spans="1:4" x14ac:dyDescent="0.25">
      <c r="A487" s="1">
        <f>IF(Param!$B$9=1,DbExcel!A487,DbWservice!A487)</f>
        <v>0</v>
      </c>
      <c r="B487" s="1">
        <f>IF(Param!$B$9=1,DbExcel!B487,DbWservice!B487)</f>
        <v>0</v>
      </c>
      <c r="C487" s="1">
        <f>IF(Param!$B$9=1,DbExcel!C487,DbWservice!C487)</f>
        <v>0</v>
      </c>
      <c r="D487" s="1">
        <f>IF(Param!$B$9=1,DbExcel!D487,DbWservice!D487)</f>
        <v>0</v>
      </c>
    </row>
    <row r="488" spans="1:4" x14ac:dyDescent="0.25">
      <c r="A488" s="1">
        <f>IF(Param!$B$9=1,DbExcel!A488,DbWservice!A488)</f>
        <v>0</v>
      </c>
      <c r="B488" s="1">
        <f>IF(Param!$B$9=1,DbExcel!B488,DbWservice!B488)</f>
        <v>0</v>
      </c>
      <c r="C488" s="1">
        <f>IF(Param!$B$9=1,DbExcel!C488,DbWservice!C488)</f>
        <v>0</v>
      </c>
      <c r="D488" s="1">
        <f>IF(Param!$B$9=1,DbExcel!D488,DbWservice!D488)</f>
        <v>0</v>
      </c>
    </row>
    <row r="489" spans="1:4" x14ac:dyDescent="0.25">
      <c r="A489" s="1">
        <f>IF(Param!$B$9=1,DbExcel!A489,DbWservice!A489)</f>
        <v>0</v>
      </c>
      <c r="B489" s="1">
        <f>IF(Param!$B$9=1,DbExcel!B489,DbWservice!B489)</f>
        <v>0</v>
      </c>
      <c r="C489" s="1">
        <f>IF(Param!$B$9=1,DbExcel!C489,DbWservice!C489)</f>
        <v>0</v>
      </c>
      <c r="D489" s="1">
        <f>IF(Param!$B$9=1,DbExcel!D489,DbWservice!D489)</f>
        <v>0</v>
      </c>
    </row>
    <row r="490" spans="1:4" x14ac:dyDescent="0.25">
      <c r="A490" s="1">
        <f>IF(Param!$B$9=1,DbExcel!A490,DbWservice!A490)</f>
        <v>0</v>
      </c>
      <c r="B490" s="1">
        <f>IF(Param!$B$9=1,DbExcel!B490,DbWservice!B490)</f>
        <v>0</v>
      </c>
      <c r="C490" s="1">
        <f>IF(Param!$B$9=1,DbExcel!C490,DbWservice!C490)</f>
        <v>0</v>
      </c>
      <c r="D490" s="1">
        <f>IF(Param!$B$9=1,DbExcel!D490,DbWservice!D490)</f>
        <v>0</v>
      </c>
    </row>
    <row r="491" spans="1:4" x14ac:dyDescent="0.25">
      <c r="A491" s="1">
        <f>IF(Param!$B$9=1,DbExcel!A491,DbWservice!A491)</f>
        <v>0</v>
      </c>
      <c r="B491" s="1">
        <f>IF(Param!$B$9=1,DbExcel!B491,DbWservice!B491)</f>
        <v>0</v>
      </c>
      <c r="C491" s="1">
        <f>IF(Param!$B$9=1,DbExcel!C491,DbWservice!C491)</f>
        <v>0</v>
      </c>
      <c r="D491" s="1">
        <f>IF(Param!$B$9=1,DbExcel!D491,DbWservice!D491)</f>
        <v>0</v>
      </c>
    </row>
    <row r="492" spans="1:4" x14ac:dyDescent="0.25">
      <c r="A492" s="1">
        <f>IF(Param!$B$9=1,DbExcel!A492,DbWservice!A492)</f>
        <v>0</v>
      </c>
      <c r="B492" s="1">
        <f>IF(Param!$B$9=1,DbExcel!B492,DbWservice!B492)</f>
        <v>0</v>
      </c>
      <c r="C492" s="1">
        <f>IF(Param!$B$9=1,DbExcel!C492,DbWservice!C492)</f>
        <v>0</v>
      </c>
      <c r="D492" s="1">
        <f>IF(Param!$B$9=1,DbExcel!D492,DbWservice!D492)</f>
        <v>0</v>
      </c>
    </row>
    <row r="493" spans="1:4" x14ac:dyDescent="0.25">
      <c r="A493" s="1">
        <f>IF(Param!$B$9=1,DbExcel!A493,DbWservice!A493)</f>
        <v>0</v>
      </c>
      <c r="B493" s="1">
        <f>IF(Param!$B$9=1,DbExcel!B493,DbWservice!B493)</f>
        <v>0</v>
      </c>
      <c r="C493" s="1">
        <f>IF(Param!$B$9=1,DbExcel!C493,DbWservice!C493)</f>
        <v>0</v>
      </c>
      <c r="D493" s="1">
        <f>IF(Param!$B$9=1,DbExcel!D493,DbWservice!D493)</f>
        <v>0</v>
      </c>
    </row>
    <row r="494" spans="1:4" x14ac:dyDescent="0.25">
      <c r="A494" s="1">
        <f>IF(Param!$B$9=1,DbExcel!A494,DbWservice!A494)</f>
        <v>0</v>
      </c>
      <c r="B494" s="1">
        <f>IF(Param!$B$9=1,DbExcel!B494,DbWservice!B494)</f>
        <v>0</v>
      </c>
      <c r="C494" s="1">
        <f>IF(Param!$B$9=1,DbExcel!C494,DbWservice!C494)</f>
        <v>0</v>
      </c>
      <c r="D494" s="1">
        <f>IF(Param!$B$9=1,DbExcel!D494,DbWservice!D494)</f>
        <v>0</v>
      </c>
    </row>
    <row r="495" spans="1:4" x14ac:dyDescent="0.25">
      <c r="A495" s="1">
        <f>IF(Param!$B$9=1,DbExcel!A495,DbWservice!A495)</f>
        <v>0</v>
      </c>
      <c r="B495" s="1">
        <f>IF(Param!$B$9=1,DbExcel!B495,DbWservice!B495)</f>
        <v>0</v>
      </c>
      <c r="C495" s="1">
        <f>IF(Param!$B$9=1,DbExcel!C495,DbWservice!C495)</f>
        <v>0</v>
      </c>
      <c r="D495" s="1">
        <f>IF(Param!$B$9=1,DbExcel!D495,DbWservice!D495)</f>
        <v>0</v>
      </c>
    </row>
    <row r="496" spans="1:4" x14ac:dyDescent="0.25">
      <c r="A496" s="1">
        <f>IF(Param!$B$9=1,DbExcel!A496,DbWservice!A496)</f>
        <v>0</v>
      </c>
      <c r="B496" s="1">
        <f>IF(Param!$B$9=1,DbExcel!B496,DbWservice!B496)</f>
        <v>0</v>
      </c>
      <c r="C496" s="1">
        <f>IF(Param!$B$9=1,DbExcel!C496,DbWservice!C496)</f>
        <v>0</v>
      </c>
      <c r="D496" s="1">
        <f>IF(Param!$B$9=1,DbExcel!D496,DbWservice!D496)</f>
        <v>0</v>
      </c>
    </row>
    <row r="497" spans="1:4" x14ac:dyDescent="0.25">
      <c r="A497" s="1">
        <f>IF(Param!$B$9=1,DbExcel!A497,DbWservice!A497)</f>
        <v>0</v>
      </c>
      <c r="B497" s="1">
        <f>IF(Param!$B$9=1,DbExcel!B497,DbWservice!B497)</f>
        <v>0</v>
      </c>
      <c r="C497" s="1">
        <f>IF(Param!$B$9=1,DbExcel!C497,DbWservice!C497)</f>
        <v>0</v>
      </c>
      <c r="D497" s="1">
        <f>IF(Param!$B$9=1,DbExcel!D497,DbWservice!D497)</f>
        <v>0</v>
      </c>
    </row>
    <row r="498" spans="1:4" x14ac:dyDescent="0.25">
      <c r="A498" s="1">
        <f>IF(Param!$B$9=1,DbExcel!A498,DbWservice!A498)</f>
        <v>0</v>
      </c>
      <c r="B498" s="1">
        <f>IF(Param!$B$9=1,DbExcel!B498,DbWservice!B498)</f>
        <v>0</v>
      </c>
      <c r="C498" s="1">
        <f>IF(Param!$B$9=1,DbExcel!C498,DbWservice!C498)</f>
        <v>0</v>
      </c>
      <c r="D498" s="1">
        <f>IF(Param!$B$9=1,DbExcel!D498,DbWservice!D498)</f>
        <v>0</v>
      </c>
    </row>
    <row r="499" spans="1:4" x14ac:dyDescent="0.25">
      <c r="A499" s="1">
        <f>IF(Param!$B$9=1,DbExcel!A499,DbWservice!A499)</f>
        <v>0</v>
      </c>
      <c r="B499" s="1">
        <f>IF(Param!$B$9=1,DbExcel!B499,DbWservice!B499)</f>
        <v>0</v>
      </c>
      <c r="C499" s="1">
        <f>IF(Param!$B$9=1,DbExcel!C499,DbWservice!C499)</f>
        <v>0</v>
      </c>
      <c r="D499" s="1">
        <f>IF(Param!$B$9=1,DbExcel!D499,DbWservice!D499)</f>
        <v>0</v>
      </c>
    </row>
    <row r="500" spans="1:4" x14ac:dyDescent="0.25">
      <c r="A500" s="1">
        <f>IF(Param!$B$9=1,DbExcel!A500,DbWservice!A500)</f>
        <v>0</v>
      </c>
      <c r="B500" s="1">
        <f>IF(Param!$B$9=1,DbExcel!B500,DbWservice!B500)</f>
        <v>0</v>
      </c>
      <c r="C500" s="1">
        <f>IF(Param!$B$9=1,DbExcel!C500,DbWservice!C500)</f>
        <v>0</v>
      </c>
      <c r="D500" s="1">
        <f>IF(Param!$B$9=1,DbExcel!D500,DbWservice!D500)</f>
        <v>0</v>
      </c>
    </row>
    <row r="501" spans="1:4" x14ac:dyDescent="0.25">
      <c r="A501" s="1">
        <f>IF(Param!$B$9=1,DbExcel!A501,DbWservice!A501)</f>
        <v>0</v>
      </c>
      <c r="B501" s="1">
        <f>IF(Param!$B$9=1,DbExcel!B501,DbWservice!B501)</f>
        <v>0</v>
      </c>
      <c r="C501" s="1">
        <f>IF(Param!$B$9=1,DbExcel!C501,DbWservice!C501)</f>
        <v>0</v>
      </c>
      <c r="D501" s="1">
        <f>IF(Param!$B$9=1,DbExcel!D501,DbWservice!D501)</f>
        <v>0</v>
      </c>
    </row>
    <row r="502" spans="1:4" x14ac:dyDescent="0.25">
      <c r="A502" s="1">
        <f>IF(Param!$B$9=1,DbExcel!A502,DbWservice!A502)</f>
        <v>0</v>
      </c>
      <c r="B502" s="1">
        <f>IF(Param!$B$9=1,DbExcel!B502,DbWservice!B502)</f>
        <v>0</v>
      </c>
      <c r="C502" s="1">
        <f>IF(Param!$B$9=1,DbExcel!C502,DbWservice!C502)</f>
        <v>0</v>
      </c>
      <c r="D502" s="1">
        <f>IF(Param!$B$9=1,DbExcel!D502,DbWservice!D502)</f>
        <v>0</v>
      </c>
    </row>
    <row r="503" spans="1:4" x14ac:dyDescent="0.25">
      <c r="A503" s="1">
        <f>IF(Param!$B$9=1,DbExcel!A503,DbWservice!A503)</f>
        <v>0</v>
      </c>
      <c r="B503" s="1">
        <f>IF(Param!$B$9=1,DbExcel!B503,DbWservice!B503)</f>
        <v>0</v>
      </c>
      <c r="C503" s="1">
        <f>IF(Param!$B$9=1,DbExcel!C503,DbWservice!C503)</f>
        <v>0</v>
      </c>
      <c r="D503" s="1">
        <f>IF(Param!$B$9=1,DbExcel!D503,DbWservice!D503)</f>
        <v>0</v>
      </c>
    </row>
    <row r="504" spans="1:4" x14ac:dyDescent="0.25">
      <c r="A504" s="1">
        <f>IF(Param!$B$9=1,DbExcel!A504,DbWservice!A504)</f>
        <v>0</v>
      </c>
      <c r="B504" s="1">
        <f>IF(Param!$B$9=1,DbExcel!B504,DbWservice!B504)</f>
        <v>0</v>
      </c>
      <c r="C504" s="1">
        <f>IF(Param!$B$9=1,DbExcel!C504,DbWservice!C504)</f>
        <v>0</v>
      </c>
      <c r="D504" s="1">
        <f>IF(Param!$B$9=1,DbExcel!D504,DbWservice!D504)</f>
        <v>0</v>
      </c>
    </row>
    <row r="505" spans="1:4" x14ac:dyDescent="0.25">
      <c r="A505" s="1">
        <f>IF(Param!$B$9=1,DbExcel!A505,DbWservice!A505)</f>
        <v>0</v>
      </c>
      <c r="B505" s="1">
        <f>IF(Param!$B$9=1,DbExcel!B505,DbWservice!B505)</f>
        <v>0</v>
      </c>
      <c r="C505" s="1">
        <f>IF(Param!$B$9=1,DbExcel!C505,DbWservice!C505)</f>
        <v>0</v>
      </c>
      <c r="D505" s="1">
        <f>IF(Param!$B$9=1,DbExcel!D505,DbWservice!D505)</f>
        <v>0</v>
      </c>
    </row>
    <row r="506" spans="1:4" x14ac:dyDescent="0.25">
      <c r="A506" s="1">
        <f>IF(Param!$B$9=1,DbExcel!A506,DbWservice!A506)</f>
        <v>0</v>
      </c>
      <c r="B506" s="1">
        <f>IF(Param!$B$9=1,DbExcel!B506,DbWservice!B506)</f>
        <v>0</v>
      </c>
      <c r="C506" s="1">
        <f>IF(Param!$B$9=1,DbExcel!C506,DbWservice!C506)</f>
        <v>0</v>
      </c>
      <c r="D506" s="1">
        <f>IF(Param!$B$9=1,DbExcel!D506,DbWservice!D506)</f>
        <v>0</v>
      </c>
    </row>
    <row r="507" spans="1:4" x14ac:dyDescent="0.25">
      <c r="A507" s="1">
        <f>IF(Param!$B$9=1,DbExcel!A507,DbWservice!A507)</f>
        <v>0</v>
      </c>
      <c r="B507" s="1">
        <f>IF(Param!$B$9=1,DbExcel!B507,DbWservice!B507)</f>
        <v>0</v>
      </c>
      <c r="C507" s="1">
        <f>IF(Param!$B$9=1,DbExcel!C507,DbWservice!C507)</f>
        <v>0</v>
      </c>
      <c r="D507" s="1">
        <f>IF(Param!$B$9=1,DbExcel!D507,DbWservice!D507)</f>
        <v>0</v>
      </c>
    </row>
    <row r="508" spans="1:4" x14ac:dyDescent="0.25">
      <c r="A508" s="1">
        <f>IF(Param!$B$9=1,DbExcel!A508,DbWservice!A508)</f>
        <v>0</v>
      </c>
      <c r="B508" s="1">
        <f>IF(Param!$B$9=1,DbExcel!B508,DbWservice!B508)</f>
        <v>0</v>
      </c>
      <c r="C508" s="1">
        <f>IF(Param!$B$9=1,DbExcel!C508,DbWservice!C508)</f>
        <v>0</v>
      </c>
      <c r="D508" s="1">
        <f>IF(Param!$B$9=1,DbExcel!D508,DbWservice!D508)</f>
        <v>0</v>
      </c>
    </row>
    <row r="509" spans="1:4" x14ac:dyDescent="0.25">
      <c r="A509" s="1">
        <f>IF(Param!$B$9=1,DbExcel!A509,DbWservice!A509)</f>
        <v>0</v>
      </c>
      <c r="B509" s="1">
        <f>IF(Param!$B$9=1,DbExcel!B509,DbWservice!B509)</f>
        <v>0</v>
      </c>
      <c r="C509" s="1">
        <f>IF(Param!$B$9=1,DbExcel!C509,DbWservice!C509)</f>
        <v>0</v>
      </c>
      <c r="D509" s="1">
        <f>IF(Param!$B$9=1,DbExcel!D509,DbWservice!D509)</f>
        <v>0</v>
      </c>
    </row>
    <row r="510" spans="1:4" x14ac:dyDescent="0.25">
      <c r="A510" s="1">
        <f>IF(Param!$B$9=1,DbExcel!A510,DbWservice!A510)</f>
        <v>0</v>
      </c>
      <c r="B510" s="1">
        <f>IF(Param!$B$9=1,DbExcel!B510,DbWservice!B510)</f>
        <v>0</v>
      </c>
      <c r="C510" s="1">
        <f>IF(Param!$B$9=1,DbExcel!C510,DbWservice!C510)</f>
        <v>0</v>
      </c>
      <c r="D510" s="1">
        <f>IF(Param!$B$9=1,DbExcel!D510,DbWservice!D510)</f>
        <v>0</v>
      </c>
    </row>
    <row r="511" spans="1:4" x14ac:dyDescent="0.25">
      <c r="A511" s="1">
        <f>IF(Param!$B$9=1,DbExcel!A511,DbWservice!A511)</f>
        <v>0</v>
      </c>
      <c r="B511" s="1">
        <f>IF(Param!$B$9=1,DbExcel!B511,DbWservice!B511)</f>
        <v>0</v>
      </c>
      <c r="C511" s="1">
        <f>IF(Param!$B$9=1,DbExcel!C511,DbWservice!C511)</f>
        <v>0</v>
      </c>
      <c r="D511" s="1">
        <f>IF(Param!$B$9=1,DbExcel!D511,DbWservice!D511)</f>
        <v>0</v>
      </c>
    </row>
    <row r="512" spans="1:4" x14ac:dyDescent="0.25">
      <c r="A512" s="1">
        <f>IF(Param!$B$9=1,DbExcel!A512,DbWservice!A512)</f>
        <v>0</v>
      </c>
      <c r="B512" s="1">
        <f>IF(Param!$B$9=1,DbExcel!B512,DbWservice!B512)</f>
        <v>0</v>
      </c>
      <c r="C512" s="1">
        <f>IF(Param!$B$9=1,DbExcel!C512,DbWservice!C512)</f>
        <v>0</v>
      </c>
      <c r="D512" s="1">
        <f>IF(Param!$B$9=1,DbExcel!D512,DbWservice!D512)</f>
        <v>0</v>
      </c>
    </row>
    <row r="513" spans="1:4" x14ac:dyDescent="0.25">
      <c r="A513" s="1">
        <f>IF(Param!$B$9=1,DbExcel!A513,DbWservice!A513)</f>
        <v>0</v>
      </c>
      <c r="B513" s="1">
        <f>IF(Param!$B$9=1,DbExcel!B513,DbWservice!B513)</f>
        <v>0</v>
      </c>
      <c r="C513" s="1">
        <f>IF(Param!$B$9=1,DbExcel!C513,DbWservice!C513)</f>
        <v>0</v>
      </c>
      <c r="D513" s="1">
        <f>IF(Param!$B$9=1,DbExcel!D513,DbWservice!D513)</f>
        <v>0</v>
      </c>
    </row>
    <row r="514" spans="1:4" x14ac:dyDescent="0.25">
      <c r="A514" s="1">
        <f>IF(Param!$B$9=1,DbExcel!A514,DbWservice!A514)</f>
        <v>0</v>
      </c>
      <c r="B514" s="1">
        <f>IF(Param!$B$9=1,DbExcel!B514,DbWservice!B514)</f>
        <v>0</v>
      </c>
      <c r="C514" s="1">
        <f>IF(Param!$B$9=1,DbExcel!C514,DbWservice!C514)</f>
        <v>0</v>
      </c>
      <c r="D514" s="1">
        <f>IF(Param!$B$9=1,DbExcel!D514,DbWservice!D514)</f>
        <v>0</v>
      </c>
    </row>
    <row r="515" spans="1:4" x14ac:dyDescent="0.25">
      <c r="A515" s="1">
        <f>IF(Param!$B$9=1,DbExcel!A515,DbWservice!A515)</f>
        <v>0</v>
      </c>
      <c r="B515" s="1">
        <f>IF(Param!$B$9=1,DbExcel!B515,DbWservice!B515)</f>
        <v>0</v>
      </c>
      <c r="C515" s="1">
        <f>IF(Param!$B$9=1,DbExcel!C515,DbWservice!C515)</f>
        <v>0</v>
      </c>
      <c r="D515" s="1">
        <f>IF(Param!$B$9=1,DbExcel!D515,DbWservice!D515)</f>
        <v>0</v>
      </c>
    </row>
    <row r="516" spans="1:4" x14ac:dyDescent="0.25">
      <c r="A516" s="1">
        <f>IF(Param!$B$9=1,DbExcel!A516,DbWservice!A516)</f>
        <v>0</v>
      </c>
      <c r="B516" s="1">
        <f>IF(Param!$B$9=1,DbExcel!B516,DbWservice!B516)</f>
        <v>0</v>
      </c>
      <c r="C516" s="1">
        <f>IF(Param!$B$9=1,DbExcel!C516,DbWservice!C516)</f>
        <v>0</v>
      </c>
      <c r="D516" s="1">
        <f>IF(Param!$B$9=1,DbExcel!D516,DbWservice!D516)</f>
        <v>0</v>
      </c>
    </row>
    <row r="517" spans="1:4" x14ac:dyDescent="0.25">
      <c r="A517" s="1">
        <f>IF(Param!$B$9=1,DbExcel!A517,DbWservice!A517)</f>
        <v>0</v>
      </c>
      <c r="B517" s="1">
        <f>IF(Param!$B$9=1,DbExcel!B517,DbWservice!B517)</f>
        <v>0</v>
      </c>
      <c r="C517" s="1">
        <f>IF(Param!$B$9=1,DbExcel!C517,DbWservice!C517)</f>
        <v>0</v>
      </c>
      <c r="D517" s="1">
        <f>IF(Param!$B$9=1,DbExcel!D517,DbWservice!D517)</f>
        <v>0</v>
      </c>
    </row>
    <row r="518" spans="1:4" x14ac:dyDescent="0.25">
      <c r="A518" s="1">
        <f>IF(Param!$B$9=1,DbExcel!A518,DbWservice!A518)</f>
        <v>0</v>
      </c>
      <c r="B518" s="1">
        <f>IF(Param!$B$9=1,DbExcel!B518,DbWservice!B518)</f>
        <v>0</v>
      </c>
      <c r="C518" s="1">
        <f>IF(Param!$B$9=1,DbExcel!C518,DbWservice!C518)</f>
        <v>0</v>
      </c>
      <c r="D518" s="1">
        <f>IF(Param!$B$9=1,DbExcel!D518,DbWservice!D518)</f>
        <v>0</v>
      </c>
    </row>
    <row r="519" spans="1:4" x14ac:dyDescent="0.25">
      <c r="A519" s="1">
        <f>IF(Param!$B$9=1,DbExcel!A519,DbWservice!A519)</f>
        <v>0</v>
      </c>
      <c r="B519" s="1">
        <f>IF(Param!$B$9=1,DbExcel!B519,DbWservice!B519)</f>
        <v>0</v>
      </c>
      <c r="C519" s="1">
        <f>IF(Param!$B$9=1,DbExcel!C519,DbWservice!C519)</f>
        <v>0</v>
      </c>
      <c r="D519" s="1">
        <f>IF(Param!$B$9=1,DbExcel!D519,DbWservice!D519)</f>
        <v>0</v>
      </c>
    </row>
    <row r="520" spans="1:4" x14ac:dyDescent="0.25">
      <c r="A520" s="1">
        <f>IF(Param!$B$9=1,DbExcel!A520,DbWservice!A520)</f>
        <v>0</v>
      </c>
      <c r="B520" s="1">
        <f>IF(Param!$B$9=1,DbExcel!B520,DbWservice!B520)</f>
        <v>0</v>
      </c>
      <c r="C520" s="1">
        <f>IF(Param!$B$9=1,DbExcel!C520,DbWservice!C520)</f>
        <v>0</v>
      </c>
      <c r="D520" s="1">
        <f>IF(Param!$B$9=1,DbExcel!D520,DbWservice!D520)</f>
        <v>0</v>
      </c>
    </row>
    <row r="521" spans="1:4" x14ac:dyDescent="0.25">
      <c r="A521" s="1">
        <f>IF(Param!$B$9=1,DbExcel!A521,DbWservice!A521)</f>
        <v>0</v>
      </c>
      <c r="B521" s="1">
        <f>IF(Param!$B$9=1,DbExcel!B521,DbWservice!B521)</f>
        <v>0</v>
      </c>
      <c r="C521" s="1">
        <f>IF(Param!$B$9=1,DbExcel!C521,DbWservice!C521)</f>
        <v>0</v>
      </c>
      <c r="D521" s="1">
        <f>IF(Param!$B$9=1,DbExcel!D521,DbWservice!D521)</f>
        <v>0</v>
      </c>
    </row>
    <row r="522" spans="1:4" x14ac:dyDescent="0.25">
      <c r="A522" s="1">
        <f>IF(Param!$B$9=1,DbExcel!A522,DbWservice!A522)</f>
        <v>0</v>
      </c>
      <c r="B522" s="1">
        <f>IF(Param!$B$9=1,DbExcel!B522,DbWservice!B522)</f>
        <v>0</v>
      </c>
      <c r="C522" s="1">
        <f>IF(Param!$B$9=1,DbExcel!C522,DbWservice!C522)</f>
        <v>0</v>
      </c>
      <c r="D522" s="1">
        <f>IF(Param!$B$9=1,DbExcel!D522,DbWservice!D522)</f>
        <v>0</v>
      </c>
    </row>
    <row r="523" spans="1:4" x14ac:dyDescent="0.25">
      <c r="A523" s="1">
        <f>IF(Param!$B$9=1,DbExcel!A523,DbWservice!A523)</f>
        <v>0</v>
      </c>
      <c r="B523" s="1">
        <f>IF(Param!$B$9=1,DbExcel!B523,DbWservice!B523)</f>
        <v>0</v>
      </c>
      <c r="C523" s="1">
        <f>IF(Param!$B$9=1,DbExcel!C523,DbWservice!C523)</f>
        <v>0</v>
      </c>
      <c r="D523" s="1">
        <f>IF(Param!$B$9=1,DbExcel!D523,DbWservice!D523)</f>
        <v>0</v>
      </c>
    </row>
    <row r="524" spans="1:4" x14ac:dyDescent="0.25">
      <c r="A524" s="1">
        <f>IF(Param!$B$9=1,DbExcel!A524,DbWservice!A524)</f>
        <v>0</v>
      </c>
      <c r="B524" s="1">
        <f>IF(Param!$B$9=1,DbExcel!B524,DbWservice!B524)</f>
        <v>0</v>
      </c>
      <c r="C524" s="1">
        <f>IF(Param!$B$9=1,DbExcel!C524,DbWservice!C524)</f>
        <v>0</v>
      </c>
      <c r="D524" s="1">
        <f>IF(Param!$B$9=1,DbExcel!D524,DbWservice!D524)</f>
        <v>0</v>
      </c>
    </row>
    <row r="525" spans="1:4" x14ac:dyDescent="0.25">
      <c r="A525" s="1">
        <f>IF(Param!$B$9=1,DbExcel!A525,DbWservice!A525)</f>
        <v>0</v>
      </c>
      <c r="B525" s="1">
        <f>IF(Param!$B$9=1,DbExcel!B525,DbWservice!B525)</f>
        <v>0</v>
      </c>
      <c r="C525" s="1">
        <f>IF(Param!$B$9=1,DbExcel!C525,DbWservice!C525)</f>
        <v>0</v>
      </c>
      <c r="D525" s="1">
        <f>IF(Param!$B$9=1,DbExcel!D525,DbWservice!D525)</f>
        <v>0</v>
      </c>
    </row>
    <row r="526" spans="1:4" x14ac:dyDescent="0.25">
      <c r="A526" s="1">
        <f>IF(Param!$B$9=1,DbExcel!A526,DbWservice!A526)</f>
        <v>0</v>
      </c>
      <c r="B526" s="1">
        <f>IF(Param!$B$9=1,DbExcel!B526,DbWservice!B526)</f>
        <v>0</v>
      </c>
      <c r="C526" s="1">
        <f>IF(Param!$B$9=1,DbExcel!C526,DbWservice!C526)</f>
        <v>0</v>
      </c>
      <c r="D526" s="1">
        <f>IF(Param!$B$9=1,DbExcel!D526,DbWservice!D526)</f>
        <v>0</v>
      </c>
    </row>
    <row r="527" spans="1:4" x14ac:dyDescent="0.25">
      <c r="A527" s="1">
        <f>IF(Param!$B$9=1,DbExcel!A527,DbWservice!A527)</f>
        <v>0</v>
      </c>
      <c r="B527" s="1">
        <f>IF(Param!$B$9=1,DbExcel!B527,DbWservice!B527)</f>
        <v>0</v>
      </c>
      <c r="C527" s="1">
        <f>IF(Param!$B$9=1,DbExcel!C527,DbWservice!C527)</f>
        <v>0</v>
      </c>
      <c r="D527" s="1">
        <f>IF(Param!$B$9=1,DbExcel!D527,DbWservice!D527)</f>
        <v>0</v>
      </c>
    </row>
    <row r="528" spans="1:4" x14ac:dyDescent="0.25">
      <c r="A528" s="1">
        <f>IF(Param!$B$9=1,DbExcel!A528,DbWservice!A528)</f>
        <v>0</v>
      </c>
      <c r="B528" s="1">
        <f>IF(Param!$B$9=1,DbExcel!B528,DbWservice!B528)</f>
        <v>0</v>
      </c>
      <c r="C528" s="1">
        <f>IF(Param!$B$9=1,DbExcel!C528,DbWservice!C528)</f>
        <v>0</v>
      </c>
      <c r="D528" s="1">
        <f>IF(Param!$B$9=1,DbExcel!D528,DbWservice!D528)</f>
        <v>0</v>
      </c>
    </row>
    <row r="529" spans="1:4" x14ac:dyDescent="0.25">
      <c r="A529" s="1">
        <f>IF(Param!$B$9=1,DbExcel!A529,DbWservice!A529)</f>
        <v>0</v>
      </c>
      <c r="B529" s="1">
        <f>IF(Param!$B$9=1,DbExcel!B529,DbWservice!B529)</f>
        <v>0</v>
      </c>
      <c r="C529" s="1">
        <f>IF(Param!$B$9=1,DbExcel!C529,DbWservice!C529)</f>
        <v>0</v>
      </c>
      <c r="D529" s="1">
        <f>IF(Param!$B$9=1,DbExcel!D529,DbWservice!D529)</f>
        <v>0</v>
      </c>
    </row>
    <row r="530" spans="1:4" x14ac:dyDescent="0.25">
      <c r="A530" s="1">
        <f>IF(Param!$B$9=1,DbExcel!A530,DbWservice!A530)</f>
        <v>0</v>
      </c>
      <c r="B530" s="1">
        <f>IF(Param!$B$9=1,DbExcel!B530,DbWservice!B530)</f>
        <v>0</v>
      </c>
      <c r="C530" s="1">
        <f>IF(Param!$B$9=1,DbExcel!C530,DbWservice!C530)</f>
        <v>0</v>
      </c>
      <c r="D530" s="1">
        <f>IF(Param!$B$9=1,DbExcel!D530,DbWservice!D530)</f>
        <v>0</v>
      </c>
    </row>
    <row r="531" spans="1:4" x14ac:dyDescent="0.25">
      <c r="A531" s="1">
        <f>IF(Param!$B$9=1,DbExcel!A531,DbWservice!A531)</f>
        <v>0</v>
      </c>
      <c r="B531" s="1">
        <f>IF(Param!$B$9=1,DbExcel!B531,DbWservice!B531)</f>
        <v>0</v>
      </c>
      <c r="C531" s="1">
        <f>IF(Param!$B$9=1,DbExcel!C531,DbWservice!C531)</f>
        <v>0</v>
      </c>
      <c r="D531" s="1">
        <f>IF(Param!$B$9=1,DbExcel!D531,DbWservice!D531)</f>
        <v>0</v>
      </c>
    </row>
    <row r="532" spans="1:4" x14ac:dyDescent="0.25">
      <c r="A532" s="1">
        <f>IF(Param!$B$9=1,DbExcel!A532,DbWservice!A532)</f>
        <v>0</v>
      </c>
      <c r="B532" s="1">
        <f>IF(Param!$B$9=1,DbExcel!B532,DbWservice!B532)</f>
        <v>0</v>
      </c>
      <c r="C532" s="1">
        <f>IF(Param!$B$9=1,DbExcel!C532,DbWservice!C532)</f>
        <v>0</v>
      </c>
      <c r="D532" s="1">
        <f>IF(Param!$B$9=1,DbExcel!D532,DbWservice!D532)</f>
        <v>0</v>
      </c>
    </row>
    <row r="533" spans="1:4" x14ac:dyDescent="0.25">
      <c r="A533" s="1">
        <f>IF(Param!$B$9=1,DbExcel!A533,DbWservice!A533)</f>
        <v>0</v>
      </c>
      <c r="B533" s="1">
        <f>IF(Param!$B$9=1,DbExcel!B533,DbWservice!B533)</f>
        <v>0</v>
      </c>
      <c r="C533" s="1">
        <f>IF(Param!$B$9=1,DbExcel!C533,DbWservice!C533)</f>
        <v>0</v>
      </c>
      <c r="D533" s="1">
        <f>IF(Param!$B$9=1,DbExcel!D533,DbWservice!D533)</f>
        <v>0</v>
      </c>
    </row>
    <row r="534" spans="1:4" x14ac:dyDescent="0.25">
      <c r="A534" s="1">
        <f>IF(Param!$B$9=1,DbExcel!A534,DbWservice!A534)</f>
        <v>0</v>
      </c>
      <c r="B534" s="1">
        <f>IF(Param!$B$9=1,DbExcel!B534,DbWservice!B534)</f>
        <v>0</v>
      </c>
      <c r="C534" s="1">
        <f>IF(Param!$B$9=1,DbExcel!C534,DbWservice!C534)</f>
        <v>0</v>
      </c>
      <c r="D534" s="1">
        <f>IF(Param!$B$9=1,DbExcel!D534,DbWservice!D534)</f>
        <v>0</v>
      </c>
    </row>
    <row r="535" spans="1:4" x14ac:dyDescent="0.25">
      <c r="A535" s="1">
        <f>IF(Param!$B$9=1,DbExcel!A535,DbWservice!A535)</f>
        <v>0</v>
      </c>
      <c r="B535" s="1">
        <f>IF(Param!$B$9=1,DbExcel!B535,DbWservice!B535)</f>
        <v>0</v>
      </c>
      <c r="C535" s="1">
        <f>IF(Param!$B$9=1,DbExcel!C535,DbWservice!C535)</f>
        <v>0</v>
      </c>
      <c r="D535" s="1">
        <f>IF(Param!$B$9=1,DbExcel!D535,DbWservice!D535)</f>
        <v>0</v>
      </c>
    </row>
    <row r="536" spans="1:4" x14ac:dyDescent="0.25">
      <c r="A536" s="1">
        <f>IF(Param!$B$9=1,DbExcel!A536,DbWservice!A536)</f>
        <v>0</v>
      </c>
      <c r="B536" s="1">
        <f>IF(Param!$B$9=1,DbExcel!B536,DbWservice!B536)</f>
        <v>0</v>
      </c>
      <c r="C536" s="1">
        <f>IF(Param!$B$9=1,DbExcel!C536,DbWservice!C536)</f>
        <v>0</v>
      </c>
      <c r="D536" s="1">
        <f>IF(Param!$B$9=1,DbExcel!D536,DbWservice!D536)</f>
        <v>0</v>
      </c>
    </row>
    <row r="537" spans="1:4" x14ac:dyDescent="0.25">
      <c r="A537" s="1">
        <f>IF(Param!$B$9=1,DbExcel!A537,DbWservice!A537)</f>
        <v>0</v>
      </c>
      <c r="B537" s="1">
        <f>IF(Param!$B$9=1,DbExcel!B537,DbWservice!B537)</f>
        <v>0</v>
      </c>
      <c r="C537" s="1">
        <f>IF(Param!$B$9=1,DbExcel!C537,DbWservice!C537)</f>
        <v>0</v>
      </c>
      <c r="D537" s="1">
        <f>IF(Param!$B$9=1,DbExcel!D537,DbWservice!D537)</f>
        <v>0</v>
      </c>
    </row>
    <row r="538" spans="1:4" x14ac:dyDescent="0.25">
      <c r="A538" s="1">
        <f>IF(Param!$B$9=1,DbExcel!A538,DbWservice!A538)</f>
        <v>0</v>
      </c>
      <c r="B538" s="1">
        <f>IF(Param!$B$9=1,DbExcel!B538,DbWservice!B538)</f>
        <v>0</v>
      </c>
      <c r="C538" s="1">
        <f>IF(Param!$B$9=1,DbExcel!C538,DbWservice!C538)</f>
        <v>0</v>
      </c>
      <c r="D538" s="1">
        <f>IF(Param!$B$9=1,DbExcel!D538,DbWservice!D538)</f>
        <v>0</v>
      </c>
    </row>
    <row r="539" spans="1:4" x14ac:dyDescent="0.25">
      <c r="A539" s="1">
        <f>IF(Param!$B$9=1,DbExcel!A539,DbWservice!A539)</f>
        <v>0</v>
      </c>
      <c r="B539" s="1">
        <f>IF(Param!$B$9=1,DbExcel!B539,DbWservice!B539)</f>
        <v>0</v>
      </c>
      <c r="C539" s="1">
        <f>IF(Param!$B$9=1,DbExcel!C539,DbWservice!C539)</f>
        <v>0</v>
      </c>
      <c r="D539" s="1">
        <f>IF(Param!$B$9=1,DbExcel!D539,DbWservice!D539)</f>
        <v>0</v>
      </c>
    </row>
    <row r="540" spans="1:4" x14ac:dyDescent="0.25">
      <c r="A540" s="1">
        <f>IF(Param!$B$9=1,DbExcel!A540,DbWservice!A540)</f>
        <v>0</v>
      </c>
      <c r="B540" s="1">
        <f>IF(Param!$B$9=1,DbExcel!B540,DbWservice!B540)</f>
        <v>0</v>
      </c>
      <c r="C540" s="1">
        <f>IF(Param!$B$9=1,DbExcel!C540,DbWservice!C540)</f>
        <v>0</v>
      </c>
      <c r="D540" s="1">
        <f>IF(Param!$B$9=1,DbExcel!D540,DbWservice!D540)</f>
        <v>0</v>
      </c>
    </row>
    <row r="541" spans="1:4" x14ac:dyDescent="0.25">
      <c r="A541" s="1">
        <f>IF(Param!$B$9=1,DbExcel!A541,DbWservice!A541)</f>
        <v>0</v>
      </c>
      <c r="B541" s="1">
        <f>IF(Param!$B$9=1,DbExcel!B541,DbWservice!B541)</f>
        <v>0</v>
      </c>
      <c r="C541" s="1">
        <f>IF(Param!$B$9=1,DbExcel!C541,DbWservice!C541)</f>
        <v>0</v>
      </c>
      <c r="D541" s="1">
        <f>IF(Param!$B$9=1,DbExcel!D541,DbWservice!D541)</f>
        <v>0</v>
      </c>
    </row>
    <row r="542" spans="1:4" x14ac:dyDescent="0.25">
      <c r="A542" s="1">
        <f>IF(Param!$B$9=1,DbExcel!A542,DbWservice!A542)</f>
        <v>0</v>
      </c>
      <c r="B542" s="1">
        <f>IF(Param!$B$9=1,DbExcel!B542,DbWservice!B542)</f>
        <v>0</v>
      </c>
      <c r="C542" s="1">
        <f>IF(Param!$B$9=1,DbExcel!C542,DbWservice!C542)</f>
        <v>0</v>
      </c>
      <c r="D542" s="1">
        <f>IF(Param!$B$9=1,DbExcel!D542,DbWservice!D542)</f>
        <v>0</v>
      </c>
    </row>
    <row r="543" spans="1:4" x14ac:dyDescent="0.25">
      <c r="A543" s="1">
        <f>IF(Param!$B$9=1,DbExcel!A543,DbWservice!A543)</f>
        <v>0</v>
      </c>
      <c r="B543" s="1">
        <f>IF(Param!$B$9=1,DbExcel!B543,DbWservice!B543)</f>
        <v>0</v>
      </c>
      <c r="C543" s="1">
        <f>IF(Param!$B$9=1,DbExcel!C543,DbWservice!C543)</f>
        <v>0</v>
      </c>
      <c r="D543" s="1">
        <f>IF(Param!$B$9=1,DbExcel!D543,DbWservice!D543)</f>
        <v>0</v>
      </c>
    </row>
    <row r="544" spans="1:4" x14ac:dyDescent="0.25">
      <c r="A544" s="1">
        <f>IF(Param!$B$9=1,DbExcel!A544,DbWservice!A544)</f>
        <v>0</v>
      </c>
      <c r="B544" s="1">
        <f>IF(Param!$B$9=1,DbExcel!B544,DbWservice!B544)</f>
        <v>0</v>
      </c>
      <c r="C544" s="1">
        <f>IF(Param!$B$9=1,DbExcel!C544,DbWservice!C544)</f>
        <v>0</v>
      </c>
      <c r="D544" s="1">
        <f>IF(Param!$B$9=1,DbExcel!D544,DbWservice!D544)</f>
        <v>0</v>
      </c>
    </row>
    <row r="545" spans="1:4" x14ac:dyDescent="0.25">
      <c r="A545" s="1">
        <f>IF(Param!$B$9=1,DbExcel!A545,DbWservice!A545)</f>
        <v>0</v>
      </c>
      <c r="B545" s="1">
        <f>IF(Param!$B$9=1,DbExcel!B545,DbWservice!B545)</f>
        <v>0</v>
      </c>
      <c r="C545" s="1">
        <f>IF(Param!$B$9=1,DbExcel!C545,DbWservice!C545)</f>
        <v>0</v>
      </c>
      <c r="D545" s="1">
        <f>IF(Param!$B$9=1,DbExcel!D545,DbWservice!D545)</f>
        <v>0</v>
      </c>
    </row>
    <row r="546" spans="1:4" x14ac:dyDescent="0.25">
      <c r="A546" s="1">
        <f>IF(Param!$B$9=1,DbExcel!A546,DbWservice!A546)</f>
        <v>0</v>
      </c>
      <c r="B546" s="1">
        <f>IF(Param!$B$9=1,DbExcel!B546,DbWservice!B546)</f>
        <v>0</v>
      </c>
      <c r="C546" s="1">
        <f>IF(Param!$B$9=1,DbExcel!C546,DbWservice!C546)</f>
        <v>0</v>
      </c>
      <c r="D546" s="1">
        <f>IF(Param!$B$9=1,DbExcel!D546,DbWservice!D546)</f>
        <v>0</v>
      </c>
    </row>
    <row r="547" spans="1:4" x14ac:dyDescent="0.25">
      <c r="A547" s="1">
        <f>IF(Param!$B$9=1,DbExcel!A547,DbWservice!A547)</f>
        <v>0</v>
      </c>
      <c r="B547" s="1">
        <f>IF(Param!$B$9=1,DbExcel!B547,DbWservice!B547)</f>
        <v>0</v>
      </c>
      <c r="C547" s="1">
        <f>IF(Param!$B$9=1,DbExcel!C547,DbWservice!C547)</f>
        <v>0</v>
      </c>
      <c r="D547" s="1">
        <f>IF(Param!$B$9=1,DbExcel!D547,DbWservice!D547)</f>
        <v>0</v>
      </c>
    </row>
    <row r="548" spans="1:4" x14ac:dyDescent="0.25">
      <c r="A548" s="1">
        <f>IF(Param!$B$9=1,DbExcel!A548,DbWservice!A548)</f>
        <v>0</v>
      </c>
      <c r="B548" s="1">
        <f>IF(Param!$B$9=1,DbExcel!B548,DbWservice!B548)</f>
        <v>0</v>
      </c>
      <c r="C548" s="1">
        <f>IF(Param!$B$9=1,DbExcel!C548,DbWservice!C548)</f>
        <v>0</v>
      </c>
      <c r="D548" s="1">
        <f>IF(Param!$B$9=1,DbExcel!D548,DbWservice!D548)</f>
        <v>0</v>
      </c>
    </row>
    <row r="549" spans="1:4" x14ac:dyDescent="0.25">
      <c r="A549" s="1">
        <f>IF(Param!$B$9=1,DbExcel!A549,DbWservice!A549)</f>
        <v>0</v>
      </c>
      <c r="B549" s="1">
        <f>IF(Param!$B$9=1,DbExcel!B549,DbWservice!B549)</f>
        <v>0</v>
      </c>
      <c r="C549" s="1">
        <f>IF(Param!$B$9=1,DbExcel!C549,DbWservice!C549)</f>
        <v>0</v>
      </c>
      <c r="D549" s="1">
        <f>IF(Param!$B$9=1,DbExcel!D549,DbWservice!D549)</f>
        <v>0</v>
      </c>
    </row>
    <row r="550" spans="1:4" x14ac:dyDescent="0.25">
      <c r="A550" s="1">
        <f>IF(Param!$B$9=1,DbExcel!A550,DbWservice!A550)</f>
        <v>0</v>
      </c>
      <c r="B550" s="1">
        <f>IF(Param!$B$9=1,DbExcel!B550,DbWservice!B550)</f>
        <v>0</v>
      </c>
      <c r="C550" s="1">
        <f>IF(Param!$B$9=1,DbExcel!C550,DbWservice!C550)</f>
        <v>0</v>
      </c>
      <c r="D550" s="1">
        <f>IF(Param!$B$9=1,DbExcel!D550,DbWservice!D550)</f>
        <v>0</v>
      </c>
    </row>
    <row r="551" spans="1:4" x14ac:dyDescent="0.25">
      <c r="A551" s="1">
        <f>IF(Param!$B$9=1,DbExcel!A551,DbWservice!A551)</f>
        <v>0</v>
      </c>
      <c r="B551" s="1">
        <f>IF(Param!$B$9=1,DbExcel!B551,DbWservice!B551)</f>
        <v>0</v>
      </c>
      <c r="C551" s="1">
        <f>IF(Param!$B$9=1,DbExcel!C551,DbWservice!C551)</f>
        <v>0</v>
      </c>
      <c r="D551" s="1">
        <f>IF(Param!$B$9=1,DbExcel!D551,DbWservice!D551)</f>
        <v>0</v>
      </c>
    </row>
    <row r="552" spans="1:4" x14ac:dyDescent="0.25">
      <c r="A552" s="1">
        <f>IF(Param!$B$9=1,DbExcel!A552,DbWservice!A552)</f>
        <v>0</v>
      </c>
      <c r="B552" s="1">
        <f>IF(Param!$B$9=1,DbExcel!B552,DbWservice!B552)</f>
        <v>0</v>
      </c>
      <c r="C552" s="1">
        <f>IF(Param!$B$9=1,DbExcel!C552,DbWservice!C552)</f>
        <v>0</v>
      </c>
      <c r="D552" s="1">
        <f>IF(Param!$B$9=1,DbExcel!D552,DbWservice!D552)</f>
        <v>0</v>
      </c>
    </row>
    <row r="553" spans="1:4" x14ac:dyDescent="0.25">
      <c r="A553" s="1">
        <f>IF(Param!$B$9=1,DbExcel!A553,DbWservice!A553)</f>
        <v>0</v>
      </c>
      <c r="B553" s="1">
        <f>IF(Param!$B$9=1,DbExcel!B553,DbWservice!B553)</f>
        <v>0</v>
      </c>
      <c r="C553" s="1">
        <f>IF(Param!$B$9=1,DbExcel!C553,DbWservice!C553)</f>
        <v>0</v>
      </c>
      <c r="D553" s="1">
        <f>IF(Param!$B$9=1,DbExcel!D553,DbWservice!D553)</f>
        <v>0</v>
      </c>
    </row>
    <row r="554" spans="1:4" x14ac:dyDescent="0.25">
      <c r="A554" s="1">
        <f>IF(Param!$B$9=1,DbExcel!A554,DbWservice!A554)</f>
        <v>0</v>
      </c>
      <c r="B554" s="1">
        <f>IF(Param!$B$9=1,DbExcel!B554,DbWservice!B554)</f>
        <v>0</v>
      </c>
      <c r="C554" s="1">
        <f>IF(Param!$B$9=1,DbExcel!C554,DbWservice!C554)</f>
        <v>0</v>
      </c>
      <c r="D554" s="1">
        <f>IF(Param!$B$9=1,DbExcel!D554,DbWservice!D554)</f>
        <v>0</v>
      </c>
    </row>
    <row r="555" spans="1:4" x14ac:dyDescent="0.25">
      <c r="A555" s="1">
        <f>IF(Param!$B$9=1,DbExcel!A555,DbWservice!A555)</f>
        <v>0</v>
      </c>
      <c r="B555" s="1">
        <f>IF(Param!$B$9=1,DbExcel!B555,DbWservice!B555)</f>
        <v>0</v>
      </c>
      <c r="C555" s="1">
        <f>IF(Param!$B$9=1,DbExcel!C555,DbWservice!C555)</f>
        <v>0</v>
      </c>
      <c r="D555" s="1">
        <f>IF(Param!$B$9=1,DbExcel!D555,DbWservice!D555)</f>
        <v>0</v>
      </c>
    </row>
    <row r="556" spans="1:4" x14ac:dyDescent="0.25">
      <c r="A556" s="1">
        <f>IF(Param!$B$9=1,DbExcel!A556,DbWservice!A556)</f>
        <v>0</v>
      </c>
      <c r="B556" s="1">
        <f>IF(Param!$B$9=1,DbExcel!B556,DbWservice!B556)</f>
        <v>0</v>
      </c>
      <c r="C556" s="1">
        <f>IF(Param!$B$9=1,DbExcel!C556,DbWservice!C556)</f>
        <v>0</v>
      </c>
      <c r="D556" s="1">
        <f>IF(Param!$B$9=1,DbExcel!D556,DbWservice!D556)</f>
        <v>0</v>
      </c>
    </row>
    <row r="557" spans="1:4" x14ac:dyDescent="0.25">
      <c r="A557" s="1">
        <f>IF(Param!$B$9=1,DbExcel!A557,DbWservice!A557)</f>
        <v>0</v>
      </c>
      <c r="B557" s="1">
        <f>IF(Param!$B$9=1,DbExcel!B557,DbWservice!B557)</f>
        <v>0</v>
      </c>
      <c r="C557" s="1">
        <f>IF(Param!$B$9=1,DbExcel!C557,DbWservice!C557)</f>
        <v>0</v>
      </c>
      <c r="D557" s="1">
        <f>IF(Param!$B$9=1,DbExcel!D557,DbWservice!D557)</f>
        <v>0</v>
      </c>
    </row>
    <row r="558" spans="1:4" x14ac:dyDescent="0.25">
      <c r="A558" s="1">
        <f>IF(Param!$B$9=1,DbExcel!A558,DbWservice!A558)</f>
        <v>0</v>
      </c>
      <c r="B558" s="1">
        <f>IF(Param!$B$9=1,DbExcel!B558,DbWservice!B558)</f>
        <v>0</v>
      </c>
      <c r="C558" s="1">
        <f>IF(Param!$B$9=1,DbExcel!C558,DbWservice!C558)</f>
        <v>0</v>
      </c>
      <c r="D558" s="1">
        <f>IF(Param!$B$9=1,DbExcel!D558,DbWservice!D558)</f>
        <v>0</v>
      </c>
    </row>
    <row r="559" spans="1:4" x14ac:dyDescent="0.25">
      <c r="A559" s="1">
        <f>IF(Param!$B$9=1,DbExcel!A559,DbWservice!A559)</f>
        <v>0</v>
      </c>
      <c r="B559" s="1">
        <f>IF(Param!$B$9=1,DbExcel!B559,DbWservice!B559)</f>
        <v>0</v>
      </c>
      <c r="C559" s="1">
        <f>IF(Param!$B$9=1,DbExcel!C559,DbWservice!C559)</f>
        <v>0</v>
      </c>
      <c r="D559" s="1">
        <f>IF(Param!$B$9=1,DbExcel!D559,DbWservice!D559)</f>
        <v>0</v>
      </c>
    </row>
    <row r="560" spans="1:4" x14ac:dyDescent="0.25">
      <c r="A560" s="1">
        <f>IF(Param!$B$9=1,DbExcel!A560,DbWservice!A560)</f>
        <v>0</v>
      </c>
      <c r="B560" s="1">
        <f>IF(Param!$B$9=1,DbExcel!B560,DbWservice!B560)</f>
        <v>0</v>
      </c>
      <c r="C560" s="1">
        <f>IF(Param!$B$9=1,DbExcel!C560,DbWservice!C560)</f>
        <v>0</v>
      </c>
      <c r="D560" s="1">
        <f>IF(Param!$B$9=1,DbExcel!D560,DbWservice!D560)</f>
        <v>0</v>
      </c>
    </row>
    <row r="561" spans="1:4" x14ac:dyDescent="0.25">
      <c r="A561" s="1">
        <f>IF(Param!$B$9=1,DbExcel!A561,DbWservice!A561)</f>
        <v>0</v>
      </c>
      <c r="B561" s="1">
        <f>IF(Param!$B$9=1,DbExcel!B561,DbWservice!B561)</f>
        <v>0</v>
      </c>
      <c r="C561" s="1">
        <f>IF(Param!$B$9=1,DbExcel!C561,DbWservice!C561)</f>
        <v>0</v>
      </c>
      <c r="D561" s="1">
        <f>IF(Param!$B$9=1,DbExcel!D561,DbWservice!D561)</f>
        <v>0</v>
      </c>
    </row>
    <row r="562" spans="1:4" x14ac:dyDescent="0.25">
      <c r="A562" s="1">
        <f>IF(Param!$B$9=1,DbExcel!A562,DbWservice!A562)</f>
        <v>0</v>
      </c>
      <c r="B562" s="1">
        <f>IF(Param!$B$9=1,DbExcel!B562,DbWservice!B562)</f>
        <v>0</v>
      </c>
      <c r="C562" s="1">
        <f>IF(Param!$B$9=1,DbExcel!C562,DbWservice!C562)</f>
        <v>0</v>
      </c>
      <c r="D562" s="1">
        <f>IF(Param!$B$9=1,DbExcel!D562,DbWservice!D562)</f>
        <v>0</v>
      </c>
    </row>
    <row r="563" spans="1:4" x14ac:dyDescent="0.25">
      <c r="A563" s="1">
        <f>IF(Param!$B$9=1,DbExcel!A563,DbWservice!A563)</f>
        <v>0</v>
      </c>
      <c r="B563" s="1">
        <f>IF(Param!$B$9=1,DbExcel!B563,DbWservice!B563)</f>
        <v>0</v>
      </c>
      <c r="C563" s="1">
        <f>IF(Param!$B$9=1,DbExcel!C563,DbWservice!C563)</f>
        <v>0</v>
      </c>
      <c r="D563" s="1">
        <f>IF(Param!$B$9=1,DbExcel!D563,DbWservice!D563)</f>
        <v>0</v>
      </c>
    </row>
    <row r="564" spans="1:4" x14ac:dyDescent="0.25">
      <c r="A564" s="1">
        <f>IF(Param!$B$9=1,DbExcel!A564,DbWservice!A564)</f>
        <v>0</v>
      </c>
      <c r="B564" s="1">
        <f>IF(Param!$B$9=1,DbExcel!B564,DbWservice!B564)</f>
        <v>0</v>
      </c>
      <c r="C564" s="1">
        <f>IF(Param!$B$9=1,DbExcel!C564,DbWservice!C564)</f>
        <v>0</v>
      </c>
      <c r="D564" s="1">
        <f>IF(Param!$B$9=1,DbExcel!D564,DbWservice!D564)</f>
        <v>0</v>
      </c>
    </row>
    <row r="565" spans="1:4" x14ac:dyDescent="0.25">
      <c r="A565" s="1">
        <f>IF(Param!$B$9=1,DbExcel!A565,DbWservice!A565)</f>
        <v>0</v>
      </c>
      <c r="B565" s="1">
        <f>IF(Param!$B$9=1,DbExcel!B565,DbWservice!B565)</f>
        <v>0</v>
      </c>
      <c r="C565" s="1">
        <f>IF(Param!$B$9=1,DbExcel!C565,DbWservice!C565)</f>
        <v>0</v>
      </c>
      <c r="D565" s="1">
        <f>IF(Param!$B$9=1,DbExcel!D565,DbWservice!D565)</f>
        <v>0</v>
      </c>
    </row>
    <row r="566" spans="1:4" x14ac:dyDescent="0.25">
      <c r="A566" s="1">
        <f>IF(Param!$B$9=1,DbExcel!A566,DbWservice!A566)</f>
        <v>0</v>
      </c>
      <c r="B566" s="1">
        <f>IF(Param!$B$9=1,DbExcel!B566,DbWservice!B566)</f>
        <v>0</v>
      </c>
      <c r="C566" s="1">
        <f>IF(Param!$B$9=1,DbExcel!C566,DbWservice!C566)</f>
        <v>0</v>
      </c>
      <c r="D566" s="1">
        <f>IF(Param!$B$9=1,DbExcel!D566,DbWservice!D566)</f>
        <v>0</v>
      </c>
    </row>
    <row r="567" spans="1:4" x14ac:dyDescent="0.25">
      <c r="A567" s="1">
        <f>IF(Param!$B$9=1,DbExcel!A567,DbWservice!A567)</f>
        <v>0</v>
      </c>
      <c r="B567" s="1">
        <f>IF(Param!$B$9=1,DbExcel!B567,DbWservice!B567)</f>
        <v>0</v>
      </c>
      <c r="C567" s="1">
        <f>IF(Param!$B$9=1,DbExcel!C567,DbWservice!C567)</f>
        <v>0</v>
      </c>
      <c r="D567" s="1">
        <f>IF(Param!$B$9=1,DbExcel!D567,DbWservice!D567)</f>
        <v>0</v>
      </c>
    </row>
    <row r="568" spans="1:4" x14ac:dyDescent="0.25">
      <c r="A568" s="1">
        <f>IF(Param!$B$9=1,DbExcel!A568,DbWservice!A568)</f>
        <v>0</v>
      </c>
      <c r="B568" s="1">
        <f>IF(Param!$B$9=1,DbExcel!B568,DbWservice!B568)</f>
        <v>0</v>
      </c>
      <c r="C568" s="1">
        <f>IF(Param!$B$9=1,DbExcel!C568,DbWservice!C568)</f>
        <v>0</v>
      </c>
      <c r="D568" s="1">
        <f>IF(Param!$B$9=1,DbExcel!D568,DbWservice!D568)</f>
        <v>0</v>
      </c>
    </row>
    <row r="569" spans="1:4" x14ac:dyDescent="0.25">
      <c r="A569" s="1">
        <f>IF(Param!$B$9=1,DbExcel!A569,DbWservice!A569)</f>
        <v>0</v>
      </c>
      <c r="B569" s="1">
        <f>IF(Param!$B$9=1,DbExcel!B569,DbWservice!B569)</f>
        <v>0</v>
      </c>
      <c r="C569" s="1">
        <f>IF(Param!$B$9=1,DbExcel!C569,DbWservice!C569)</f>
        <v>0</v>
      </c>
      <c r="D569" s="1">
        <f>IF(Param!$B$9=1,DbExcel!D569,DbWservice!D569)</f>
        <v>0</v>
      </c>
    </row>
    <row r="570" spans="1:4" x14ac:dyDescent="0.25">
      <c r="A570" s="1">
        <f>IF(Param!$B$9=1,DbExcel!A570,DbWservice!A570)</f>
        <v>0</v>
      </c>
      <c r="B570" s="1">
        <f>IF(Param!$B$9=1,DbExcel!B570,DbWservice!B570)</f>
        <v>0</v>
      </c>
      <c r="C570" s="1">
        <f>IF(Param!$B$9=1,DbExcel!C570,DbWservice!C570)</f>
        <v>0</v>
      </c>
      <c r="D570" s="1">
        <f>IF(Param!$B$9=1,DbExcel!D570,DbWservice!D570)</f>
        <v>0</v>
      </c>
    </row>
    <row r="571" spans="1:4" x14ac:dyDescent="0.25">
      <c r="A571" s="1">
        <f>IF(Param!$B$9=1,DbExcel!A571,DbWservice!A571)</f>
        <v>0</v>
      </c>
      <c r="B571" s="1">
        <f>IF(Param!$B$9=1,DbExcel!B571,DbWservice!B571)</f>
        <v>0</v>
      </c>
      <c r="C571" s="1">
        <f>IF(Param!$B$9=1,DbExcel!C571,DbWservice!C571)</f>
        <v>0</v>
      </c>
      <c r="D571" s="1">
        <f>IF(Param!$B$9=1,DbExcel!D571,DbWservice!D571)</f>
        <v>0</v>
      </c>
    </row>
    <row r="572" spans="1:4" x14ac:dyDescent="0.25">
      <c r="A572" s="1">
        <f>IF(Param!$B$9=1,DbExcel!A572,DbWservice!A572)</f>
        <v>0</v>
      </c>
      <c r="B572" s="1">
        <f>IF(Param!$B$9=1,DbExcel!B572,DbWservice!B572)</f>
        <v>0</v>
      </c>
      <c r="C572" s="1">
        <f>IF(Param!$B$9=1,DbExcel!C572,DbWservice!C572)</f>
        <v>0</v>
      </c>
      <c r="D572" s="1">
        <f>IF(Param!$B$9=1,DbExcel!D572,DbWservice!D572)</f>
        <v>0</v>
      </c>
    </row>
    <row r="573" spans="1:4" x14ac:dyDescent="0.25">
      <c r="A573" s="1">
        <f>IF(Param!$B$9=1,DbExcel!A573,DbWservice!A573)</f>
        <v>0</v>
      </c>
      <c r="B573" s="1">
        <f>IF(Param!$B$9=1,DbExcel!B573,DbWservice!B573)</f>
        <v>0</v>
      </c>
      <c r="C573" s="1">
        <f>IF(Param!$B$9=1,DbExcel!C573,DbWservice!C573)</f>
        <v>0</v>
      </c>
      <c r="D573" s="1">
        <f>IF(Param!$B$9=1,DbExcel!D573,DbWservice!D573)</f>
        <v>0</v>
      </c>
    </row>
    <row r="574" spans="1:4" x14ac:dyDescent="0.25">
      <c r="A574" s="1">
        <f>IF(Param!$B$9=1,DbExcel!A574,DbWservice!A574)</f>
        <v>0</v>
      </c>
      <c r="B574" s="1">
        <f>IF(Param!$B$9=1,DbExcel!B574,DbWservice!B574)</f>
        <v>0</v>
      </c>
      <c r="C574" s="1">
        <f>IF(Param!$B$9=1,DbExcel!C574,DbWservice!C574)</f>
        <v>0</v>
      </c>
      <c r="D574" s="1">
        <f>IF(Param!$B$9=1,DbExcel!D574,DbWservice!D574)</f>
        <v>0</v>
      </c>
    </row>
    <row r="575" spans="1:4" x14ac:dyDescent="0.25">
      <c r="A575" s="1">
        <f>IF(Param!$B$9=1,DbExcel!A575,DbWservice!A575)</f>
        <v>0</v>
      </c>
      <c r="B575" s="1">
        <f>IF(Param!$B$9=1,DbExcel!B575,DbWservice!B575)</f>
        <v>0</v>
      </c>
      <c r="C575" s="1">
        <f>IF(Param!$B$9=1,DbExcel!C575,DbWservice!C575)</f>
        <v>0</v>
      </c>
      <c r="D575" s="1">
        <f>IF(Param!$B$9=1,DbExcel!D575,DbWservice!D575)</f>
        <v>0</v>
      </c>
    </row>
    <row r="576" spans="1:4" x14ac:dyDescent="0.25">
      <c r="A576" s="1">
        <f>IF(Param!$B$9=1,DbExcel!A576,DbWservice!A576)</f>
        <v>0</v>
      </c>
      <c r="B576" s="1">
        <f>IF(Param!$B$9=1,DbExcel!B576,DbWservice!B576)</f>
        <v>0</v>
      </c>
      <c r="C576" s="1">
        <f>IF(Param!$B$9=1,DbExcel!C576,DbWservice!C576)</f>
        <v>0</v>
      </c>
      <c r="D576" s="1">
        <f>IF(Param!$B$9=1,DbExcel!D576,DbWservice!D576)</f>
        <v>0</v>
      </c>
    </row>
    <row r="577" spans="1:4" x14ac:dyDescent="0.25">
      <c r="A577" s="1">
        <f>IF(Param!$B$9=1,DbExcel!A577,DbWservice!A577)</f>
        <v>0</v>
      </c>
      <c r="B577" s="1">
        <f>IF(Param!$B$9=1,DbExcel!B577,DbWservice!B577)</f>
        <v>0</v>
      </c>
      <c r="C577" s="1">
        <f>IF(Param!$B$9=1,DbExcel!C577,DbWservice!C577)</f>
        <v>0</v>
      </c>
      <c r="D577" s="1">
        <f>IF(Param!$B$9=1,DbExcel!D577,DbWservice!D577)</f>
        <v>0</v>
      </c>
    </row>
    <row r="578" spans="1:4" x14ac:dyDescent="0.25">
      <c r="A578" s="1">
        <f>IF(Param!$B$9=1,DbExcel!A578,DbWservice!A578)</f>
        <v>0</v>
      </c>
      <c r="B578" s="1">
        <f>IF(Param!$B$9=1,DbExcel!B578,DbWservice!B578)</f>
        <v>0</v>
      </c>
      <c r="C578" s="1">
        <f>IF(Param!$B$9=1,DbExcel!C578,DbWservice!C578)</f>
        <v>0</v>
      </c>
      <c r="D578" s="1">
        <f>IF(Param!$B$9=1,DbExcel!D578,DbWservice!D578)</f>
        <v>0</v>
      </c>
    </row>
    <row r="579" spans="1:4" x14ac:dyDescent="0.25">
      <c r="A579" s="1">
        <f>IF(Param!$B$9=1,DbExcel!A579,DbWservice!A579)</f>
        <v>0</v>
      </c>
      <c r="B579" s="1">
        <f>IF(Param!$B$9=1,DbExcel!B579,DbWservice!B579)</f>
        <v>0</v>
      </c>
      <c r="C579" s="1">
        <f>IF(Param!$B$9=1,DbExcel!C579,DbWservice!C579)</f>
        <v>0</v>
      </c>
      <c r="D579" s="1">
        <f>IF(Param!$B$9=1,DbExcel!D579,DbWservice!D579)</f>
        <v>0</v>
      </c>
    </row>
    <row r="580" spans="1:4" x14ac:dyDescent="0.25">
      <c r="A580" s="1">
        <f>IF(Param!$B$9=1,DbExcel!A580,DbWservice!A580)</f>
        <v>0</v>
      </c>
      <c r="B580" s="1">
        <f>IF(Param!$B$9=1,DbExcel!B580,DbWservice!B580)</f>
        <v>0</v>
      </c>
      <c r="C580" s="1">
        <f>IF(Param!$B$9=1,DbExcel!C580,DbWservice!C580)</f>
        <v>0</v>
      </c>
      <c r="D580" s="1">
        <f>IF(Param!$B$9=1,DbExcel!D580,DbWservice!D580)</f>
        <v>0</v>
      </c>
    </row>
    <row r="581" spans="1:4" x14ac:dyDescent="0.25">
      <c r="A581" s="1">
        <f>IF(Param!$B$9=1,DbExcel!A581,DbWservice!A581)</f>
        <v>0</v>
      </c>
      <c r="B581" s="1">
        <f>IF(Param!$B$9=1,DbExcel!B581,DbWservice!B581)</f>
        <v>0</v>
      </c>
      <c r="C581" s="1">
        <f>IF(Param!$B$9=1,DbExcel!C581,DbWservice!C581)</f>
        <v>0</v>
      </c>
      <c r="D581" s="1">
        <f>IF(Param!$B$9=1,DbExcel!D581,DbWservice!D581)</f>
        <v>0</v>
      </c>
    </row>
    <row r="582" spans="1:4" x14ac:dyDescent="0.25">
      <c r="A582" s="1">
        <f>IF(Param!$B$9=1,DbExcel!A582,DbWservice!A582)</f>
        <v>0</v>
      </c>
      <c r="B582" s="1">
        <f>IF(Param!$B$9=1,DbExcel!B582,DbWservice!B582)</f>
        <v>0</v>
      </c>
      <c r="C582" s="1">
        <f>IF(Param!$B$9=1,DbExcel!C582,DbWservice!C582)</f>
        <v>0</v>
      </c>
      <c r="D582" s="1">
        <f>IF(Param!$B$9=1,DbExcel!D582,DbWservice!D582)</f>
        <v>0</v>
      </c>
    </row>
    <row r="583" spans="1:4" x14ac:dyDescent="0.25">
      <c r="A583" s="1">
        <f>IF(Param!$B$9=1,DbExcel!A583,DbWservice!A583)</f>
        <v>0</v>
      </c>
      <c r="B583" s="1">
        <f>IF(Param!$B$9=1,DbExcel!B583,DbWservice!B583)</f>
        <v>0</v>
      </c>
      <c r="C583" s="1">
        <f>IF(Param!$B$9=1,DbExcel!C583,DbWservice!C583)</f>
        <v>0</v>
      </c>
      <c r="D583" s="1">
        <f>IF(Param!$B$9=1,DbExcel!D583,DbWservice!D583)</f>
        <v>0</v>
      </c>
    </row>
    <row r="584" spans="1:4" x14ac:dyDescent="0.25">
      <c r="A584" s="1">
        <f>IF(Param!$B$9=1,DbExcel!A584,DbWservice!A584)</f>
        <v>0</v>
      </c>
      <c r="B584" s="1">
        <f>IF(Param!$B$9=1,DbExcel!B584,DbWservice!B584)</f>
        <v>0</v>
      </c>
      <c r="C584" s="1">
        <f>IF(Param!$B$9=1,DbExcel!C584,DbWservice!C584)</f>
        <v>0</v>
      </c>
      <c r="D584" s="1">
        <f>IF(Param!$B$9=1,DbExcel!D584,DbWservice!D584)</f>
        <v>0</v>
      </c>
    </row>
    <row r="585" spans="1:4" x14ac:dyDescent="0.25">
      <c r="A585" s="1">
        <f>IF(Param!$B$9=1,DbExcel!A585,DbWservice!A585)</f>
        <v>0</v>
      </c>
      <c r="B585" s="1">
        <f>IF(Param!$B$9=1,DbExcel!B585,DbWservice!B585)</f>
        <v>0</v>
      </c>
      <c r="C585" s="1">
        <f>IF(Param!$B$9=1,DbExcel!C585,DbWservice!C585)</f>
        <v>0</v>
      </c>
      <c r="D585" s="1">
        <f>IF(Param!$B$9=1,DbExcel!D585,DbWservice!D585)</f>
        <v>0</v>
      </c>
    </row>
    <row r="586" spans="1:4" x14ac:dyDescent="0.25">
      <c r="A586" s="1">
        <f>IF(Param!$B$9=1,DbExcel!A586,DbWservice!A586)</f>
        <v>0</v>
      </c>
      <c r="B586" s="1">
        <f>IF(Param!$B$9=1,DbExcel!B586,DbWservice!B586)</f>
        <v>0</v>
      </c>
      <c r="C586" s="1">
        <f>IF(Param!$B$9=1,DbExcel!C586,DbWservice!C586)</f>
        <v>0</v>
      </c>
      <c r="D586" s="1">
        <f>IF(Param!$B$9=1,DbExcel!D586,DbWservice!D586)</f>
        <v>0</v>
      </c>
    </row>
    <row r="587" spans="1:4" x14ac:dyDescent="0.25">
      <c r="A587" s="1">
        <f>IF(Param!$B$9=1,DbExcel!A587,DbWservice!A587)</f>
        <v>0</v>
      </c>
      <c r="B587" s="1">
        <f>IF(Param!$B$9=1,DbExcel!B587,DbWservice!B587)</f>
        <v>0</v>
      </c>
      <c r="C587" s="1">
        <f>IF(Param!$B$9=1,DbExcel!C587,DbWservice!C587)</f>
        <v>0</v>
      </c>
      <c r="D587" s="1">
        <f>IF(Param!$B$9=1,DbExcel!D587,DbWservice!D587)</f>
        <v>0</v>
      </c>
    </row>
    <row r="588" spans="1:4" x14ac:dyDescent="0.25">
      <c r="A588" s="1">
        <f>IF(Param!$B$9=1,DbExcel!A588,DbWservice!A588)</f>
        <v>0</v>
      </c>
      <c r="B588" s="1">
        <f>IF(Param!$B$9=1,DbExcel!B588,DbWservice!B588)</f>
        <v>0</v>
      </c>
      <c r="C588" s="1">
        <f>IF(Param!$B$9=1,DbExcel!C588,DbWservice!C588)</f>
        <v>0</v>
      </c>
      <c r="D588" s="1">
        <f>IF(Param!$B$9=1,DbExcel!D588,DbWservice!D588)</f>
        <v>0</v>
      </c>
    </row>
    <row r="589" spans="1:4" x14ac:dyDescent="0.25">
      <c r="A589" s="1">
        <f>IF(Param!$B$9=1,DbExcel!A589,DbWservice!A589)</f>
        <v>0</v>
      </c>
      <c r="B589" s="1">
        <f>IF(Param!$B$9=1,DbExcel!B589,DbWservice!B589)</f>
        <v>0</v>
      </c>
      <c r="C589" s="1">
        <f>IF(Param!$B$9=1,DbExcel!C589,DbWservice!C589)</f>
        <v>0</v>
      </c>
      <c r="D589" s="1">
        <f>IF(Param!$B$9=1,DbExcel!D589,DbWservice!D589)</f>
        <v>0</v>
      </c>
    </row>
    <row r="590" spans="1:4" x14ac:dyDescent="0.25">
      <c r="A590" s="1">
        <f>IF(Param!$B$9=1,DbExcel!A590,DbWservice!A590)</f>
        <v>0</v>
      </c>
      <c r="B590" s="1">
        <f>IF(Param!$B$9=1,DbExcel!B590,DbWservice!B590)</f>
        <v>0</v>
      </c>
      <c r="C590" s="1">
        <f>IF(Param!$B$9=1,DbExcel!C590,DbWservice!C590)</f>
        <v>0</v>
      </c>
      <c r="D590" s="1">
        <f>IF(Param!$B$9=1,DbExcel!D590,DbWservice!D590)</f>
        <v>0</v>
      </c>
    </row>
    <row r="591" spans="1:4" x14ac:dyDescent="0.25">
      <c r="A591" s="1">
        <f>IF(Param!$B$9=1,DbExcel!A591,DbWservice!A591)</f>
        <v>0</v>
      </c>
      <c r="B591" s="1">
        <f>IF(Param!$B$9=1,DbExcel!B591,DbWservice!B591)</f>
        <v>0</v>
      </c>
      <c r="C591" s="1">
        <f>IF(Param!$B$9=1,DbExcel!C591,DbWservice!C591)</f>
        <v>0</v>
      </c>
      <c r="D591" s="1">
        <f>IF(Param!$B$9=1,DbExcel!D591,DbWservice!D591)</f>
        <v>0</v>
      </c>
    </row>
    <row r="592" spans="1:4" x14ac:dyDescent="0.25">
      <c r="A592" s="1">
        <f>IF(Param!$B$9=1,DbExcel!A592,DbWservice!A592)</f>
        <v>0</v>
      </c>
      <c r="B592" s="1">
        <f>IF(Param!$B$9=1,DbExcel!B592,DbWservice!B592)</f>
        <v>0</v>
      </c>
      <c r="C592" s="1">
        <f>IF(Param!$B$9=1,DbExcel!C592,DbWservice!C592)</f>
        <v>0</v>
      </c>
      <c r="D592" s="1">
        <f>IF(Param!$B$9=1,DbExcel!D592,DbWservice!D592)</f>
        <v>0</v>
      </c>
    </row>
    <row r="593" spans="1:4" x14ac:dyDescent="0.25">
      <c r="A593" s="1">
        <f>IF(Param!$B$9=1,DbExcel!A593,DbWservice!A593)</f>
        <v>0</v>
      </c>
      <c r="B593" s="1">
        <f>IF(Param!$B$9=1,DbExcel!B593,DbWservice!B593)</f>
        <v>0</v>
      </c>
      <c r="C593" s="1">
        <f>IF(Param!$B$9=1,DbExcel!C593,DbWservice!C593)</f>
        <v>0</v>
      </c>
      <c r="D593" s="1">
        <f>IF(Param!$B$9=1,DbExcel!D593,DbWservice!D593)</f>
        <v>0</v>
      </c>
    </row>
    <row r="594" spans="1:4" x14ac:dyDescent="0.25">
      <c r="A594" s="1">
        <f>IF(Param!$B$9=1,DbExcel!A594,DbWservice!A594)</f>
        <v>0</v>
      </c>
      <c r="B594" s="1">
        <f>IF(Param!$B$9=1,DbExcel!B594,DbWservice!B594)</f>
        <v>0</v>
      </c>
      <c r="C594" s="1">
        <f>IF(Param!$B$9=1,DbExcel!C594,DbWservice!C594)</f>
        <v>0</v>
      </c>
      <c r="D594" s="1">
        <f>IF(Param!$B$9=1,DbExcel!D594,DbWservice!D594)</f>
        <v>0</v>
      </c>
    </row>
    <row r="595" spans="1:4" x14ac:dyDescent="0.25">
      <c r="A595" s="1">
        <f>IF(Param!$B$9=1,DbExcel!A595,DbWservice!A595)</f>
        <v>0</v>
      </c>
      <c r="B595" s="1">
        <f>IF(Param!$B$9=1,DbExcel!B595,DbWservice!B595)</f>
        <v>0</v>
      </c>
      <c r="C595" s="1">
        <f>IF(Param!$B$9=1,DbExcel!C595,DbWservice!C595)</f>
        <v>0</v>
      </c>
      <c r="D595" s="1">
        <f>IF(Param!$B$9=1,DbExcel!D595,DbWservice!D595)</f>
        <v>0</v>
      </c>
    </row>
    <row r="596" spans="1:4" x14ac:dyDescent="0.25">
      <c r="A596" s="1">
        <f>IF(Param!$B$9=1,DbExcel!A596,DbWservice!A596)</f>
        <v>0</v>
      </c>
      <c r="B596" s="1">
        <f>IF(Param!$B$9=1,DbExcel!B596,DbWservice!B596)</f>
        <v>0</v>
      </c>
      <c r="C596" s="1">
        <f>IF(Param!$B$9=1,DbExcel!C596,DbWservice!C596)</f>
        <v>0</v>
      </c>
      <c r="D596" s="1">
        <f>IF(Param!$B$9=1,DbExcel!D596,DbWservice!D596)</f>
        <v>0</v>
      </c>
    </row>
    <row r="597" spans="1:4" x14ac:dyDescent="0.25">
      <c r="A597" s="1">
        <f>IF(Param!$B$9=1,DbExcel!A597,DbWservice!A597)</f>
        <v>0</v>
      </c>
      <c r="B597" s="1">
        <f>IF(Param!$B$9=1,DbExcel!B597,DbWservice!B597)</f>
        <v>0</v>
      </c>
      <c r="C597" s="1">
        <f>IF(Param!$B$9=1,DbExcel!C597,DbWservice!C597)</f>
        <v>0</v>
      </c>
      <c r="D597" s="1">
        <f>IF(Param!$B$9=1,DbExcel!D597,DbWservice!D597)</f>
        <v>0</v>
      </c>
    </row>
    <row r="598" spans="1:4" x14ac:dyDescent="0.25">
      <c r="A598" s="1">
        <f>IF(Param!$B$9=1,DbExcel!A598,DbWservice!A598)</f>
        <v>0</v>
      </c>
      <c r="B598" s="1">
        <f>IF(Param!$B$9=1,DbExcel!B598,DbWservice!B598)</f>
        <v>0</v>
      </c>
      <c r="C598" s="1">
        <f>IF(Param!$B$9=1,DbExcel!C598,DbWservice!C598)</f>
        <v>0</v>
      </c>
      <c r="D598" s="1">
        <f>IF(Param!$B$9=1,DbExcel!D598,DbWservice!D598)</f>
        <v>0</v>
      </c>
    </row>
    <row r="599" spans="1:4" x14ac:dyDescent="0.25">
      <c r="A599" s="1">
        <f>IF(Param!$B$9=1,DbExcel!A599,DbWservice!A599)</f>
        <v>0</v>
      </c>
      <c r="B599" s="1">
        <f>IF(Param!$B$9=1,DbExcel!B599,DbWservice!B599)</f>
        <v>0</v>
      </c>
      <c r="C599" s="1">
        <f>IF(Param!$B$9=1,DbExcel!C599,DbWservice!C599)</f>
        <v>0</v>
      </c>
      <c r="D599" s="1">
        <f>IF(Param!$B$9=1,DbExcel!D599,DbWservice!D599)</f>
        <v>0</v>
      </c>
    </row>
    <row r="600" spans="1:4" x14ac:dyDescent="0.25">
      <c r="A600" s="1">
        <f>IF(Param!$B$9=1,DbExcel!A600,DbWservice!A600)</f>
        <v>0</v>
      </c>
      <c r="B600" s="1">
        <f>IF(Param!$B$9=1,DbExcel!B600,DbWservice!B600)</f>
        <v>0</v>
      </c>
      <c r="C600" s="1">
        <f>IF(Param!$B$9=1,DbExcel!C600,DbWservice!C600)</f>
        <v>0</v>
      </c>
      <c r="D600" s="1">
        <f>IF(Param!$B$9=1,DbExcel!D600,DbWservice!D600)</f>
        <v>0</v>
      </c>
    </row>
    <row r="601" spans="1:4" x14ac:dyDescent="0.25">
      <c r="A601" s="1">
        <f>IF(Param!$B$9=1,DbExcel!A601,DbWservice!A601)</f>
        <v>0</v>
      </c>
      <c r="B601" s="1">
        <f>IF(Param!$B$9=1,DbExcel!B601,DbWservice!B601)</f>
        <v>0</v>
      </c>
      <c r="C601" s="1">
        <f>IF(Param!$B$9=1,DbExcel!C601,DbWservice!C601)</f>
        <v>0</v>
      </c>
      <c r="D601" s="1">
        <f>IF(Param!$B$9=1,DbExcel!D601,DbWservice!D601)</f>
        <v>0</v>
      </c>
    </row>
    <row r="602" spans="1:4" x14ac:dyDescent="0.25">
      <c r="A602" s="1">
        <f>IF(Param!$B$9=1,DbExcel!A602,DbWservice!A602)</f>
        <v>0</v>
      </c>
      <c r="B602" s="1">
        <f>IF(Param!$B$9=1,DbExcel!B602,DbWservice!B602)</f>
        <v>0</v>
      </c>
      <c r="C602" s="1">
        <f>IF(Param!$B$9=1,DbExcel!C602,DbWservice!C602)</f>
        <v>0</v>
      </c>
      <c r="D602" s="1">
        <f>IF(Param!$B$9=1,DbExcel!D602,DbWservice!D602)</f>
        <v>0</v>
      </c>
    </row>
    <row r="603" spans="1:4" x14ac:dyDescent="0.25">
      <c r="A603" s="1">
        <f>IF(Param!$B$9=1,DbExcel!A603,DbWservice!A603)</f>
        <v>0</v>
      </c>
      <c r="B603" s="1">
        <f>IF(Param!$B$9=1,DbExcel!B603,DbWservice!B603)</f>
        <v>0</v>
      </c>
      <c r="C603" s="1">
        <f>IF(Param!$B$9=1,DbExcel!C603,DbWservice!C603)</f>
        <v>0</v>
      </c>
      <c r="D603" s="1">
        <f>IF(Param!$B$9=1,DbExcel!D603,DbWservice!D603)</f>
        <v>0</v>
      </c>
    </row>
    <row r="604" spans="1:4" x14ac:dyDescent="0.25">
      <c r="A604" s="1">
        <f>IF(Param!$B$9=1,DbExcel!A604,DbWservice!A604)</f>
        <v>0</v>
      </c>
      <c r="B604" s="1">
        <f>IF(Param!$B$9=1,DbExcel!B604,DbWservice!B604)</f>
        <v>0</v>
      </c>
      <c r="C604" s="1">
        <f>IF(Param!$B$9=1,DbExcel!C604,DbWservice!C604)</f>
        <v>0</v>
      </c>
      <c r="D604" s="1">
        <f>IF(Param!$B$9=1,DbExcel!D604,DbWservice!D604)</f>
        <v>0</v>
      </c>
    </row>
    <row r="605" spans="1:4" x14ac:dyDescent="0.25">
      <c r="A605" s="1">
        <f>IF(Param!$B$9=1,DbExcel!A605,DbWservice!A605)</f>
        <v>0</v>
      </c>
      <c r="B605" s="1">
        <f>IF(Param!$B$9=1,DbExcel!B605,DbWservice!B605)</f>
        <v>0</v>
      </c>
      <c r="C605" s="1">
        <f>IF(Param!$B$9=1,DbExcel!C605,DbWservice!C605)</f>
        <v>0</v>
      </c>
      <c r="D605" s="1">
        <f>IF(Param!$B$9=1,DbExcel!D605,DbWservice!D605)</f>
        <v>0</v>
      </c>
    </row>
    <row r="606" spans="1:4" x14ac:dyDescent="0.25">
      <c r="A606" s="1">
        <f>IF(Param!$B$9=1,DbExcel!A606,DbWservice!A606)</f>
        <v>0</v>
      </c>
      <c r="B606" s="1">
        <f>IF(Param!$B$9=1,DbExcel!B606,DbWservice!B606)</f>
        <v>0</v>
      </c>
      <c r="C606" s="1">
        <f>IF(Param!$B$9=1,DbExcel!C606,DbWservice!C606)</f>
        <v>0</v>
      </c>
      <c r="D606" s="1">
        <f>IF(Param!$B$9=1,DbExcel!D606,DbWservice!D606)</f>
        <v>0</v>
      </c>
    </row>
    <row r="607" spans="1:4" x14ac:dyDescent="0.25">
      <c r="A607" s="1">
        <f>IF(Param!$B$9=1,DbExcel!A607,DbWservice!A607)</f>
        <v>0</v>
      </c>
      <c r="B607" s="1">
        <f>IF(Param!$B$9=1,DbExcel!B607,DbWservice!B607)</f>
        <v>0</v>
      </c>
      <c r="C607" s="1">
        <f>IF(Param!$B$9=1,DbExcel!C607,DbWservice!C607)</f>
        <v>0</v>
      </c>
      <c r="D607" s="1">
        <f>IF(Param!$B$9=1,DbExcel!D607,DbWservice!D607)</f>
        <v>0</v>
      </c>
    </row>
    <row r="608" spans="1:4" x14ac:dyDescent="0.25">
      <c r="A608" s="1">
        <f>IF(Param!$B$9=1,DbExcel!A608,DbWservice!A608)</f>
        <v>0</v>
      </c>
      <c r="B608" s="1">
        <f>IF(Param!$B$9=1,DbExcel!B608,DbWservice!B608)</f>
        <v>0</v>
      </c>
      <c r="C608" s="1">
        <f>IF(Param!$B$9=1,DbExcel!C608,DbWservice!C608)</f>
        <v>0</v>
      </c>
      <c r="D608" s="1">
        <f>IF(Param!$B$9=1,DbExcel!D608,DbWservice!D608)</f>
        <v>0</v>
      </c>
    </row>
    <row r="609" spans="1:4" x14ac:dyDescent="0.25">
      <c r="A609" s="1">
        <f>IF(Param!$B$9=1,DbExcel!A609,DbWservice!A609)</f>
        <v>0</v>
      </c>
      <c r="B609" s="1">
        <f>IF(Param!$B$9=1,DbExcel!B609,DbWservice!B609)</f>
        <v>0</v>
      </c>
      <c r="C609" s="1">
        <f>IF(Param!$B$9=1,DbExcel!C609,DbWservice!C609)</f>
        <v>0</v>
      </c>
      <c r="D609" s="1">
        <f>IF(Param!$B$9=1,DbExcel!D609,DbWservice!D609)</f>
        <v>0</v>
      </c>
    </row>
    <row r="610" spans="1:4" x14ac:dyDescent="0.25">
      <c r="A610" s="1">
        <f>IF(Param!$B$9=1,DbExcel!A610,DbWservice!A610)</f>
        <v>0</v>
      </c>
      <c r="B610" s="1">
        <f>IF(Param!$B$9=1,DbExcel!B610,DbWservice!B610)</f>
        <v>0</v>
      </c>
      <c r="C610" s="1">
        <f>IF(Param!$B$9=1,DbExcel!C610,DbWservice!C610)</f>
        <v>0</v>
      </c>
      <c r="D610" s="1">
        <f>IF(Param!$B$9=1,DbExcel!D610,DbWservice!D610)</f>
        <v>0</v>
      </c>
    </row>
    <row r="611" spans="1:4" x14ac:dyDescent="0.25">
      <c r="A611" s="1">
        <f>IF(Param!$B$9=1,DbExcel!A611,DbWservice!A611)</f>
        <v>0</v>
      </c>
      <c r="B611" s="1">
        <f>IF(Param!$B$9=1,DbExcel!B611,DbWservice!B611)</f>
        <v>0</v>
      </c>
      <c r="C611" s="1">
        <f>IF(Param!$B$9=1,DbExcel!C611,DbWservice!C611)</f>
        <v>0</v>
      </c>
      <c r="D611" s="1">
        <f>IF(Param!$B$9=1,DbExcel!D611,DbWservice!D611)</f>
        <v>0</v>
      </c>
    </row>
    <row r="612" spans="1:4" x14ac:dyDescent="0.25">
      <c r="A612" s="1">
        <f>IF(Param!$B$9=1,DbExcel!A612,DbWservice!A612)</f>
        <v>0</v>
      </c>
      <c r="B612" s="1">
        <f>IF(Param!$B$9=1,DbExcel!B612,DbWservice!B612)</f>
        <v>0</v>
      </c>
      <c r="C612" s="1">
        <f>IF(Param!$B$9=1,DbExcel!C612,DbWservice!C612)</f>
        <v>0</v>
      </c>
      <c r="D612" s="1">
        <f>IF(Param!$B$9=1,DbExcel!D612,DbWservice!D612)</f>
        <v>0</v>
      </c>
    </row>
    <row r="613" spans="1:4" x14ac:dyDescent="0.25">
      <c r="A613" s="1">
        <f>IF(Param!$B$9=1,DbExcel!A613,DbWservice!A613)</f>
        <v>0</v>
      </c>
      <c r="B613" s="1">
        <f>IF(Param!$B$9=1,DbExcel!B613,DbWservice!B613)</f>
        <v>0</v>
      </c>
      <c r="C613" s="1">
        <f>IF(Param!$B$9=1,DbExcel!C613,DbWservice!C613)</f>
        <v>0</v>
      </c>
      <c r="D613" s="1">
        <f>IF(Param!$B$9=1,DbExcel!D613,DbWservice!D613)</f>
        <v>0</v>
      </c>
    </row>
    <row r="614" spans="1:4" x14ac:dyDescent="0.25">
      <c r="A614" s="1">
        <f>IF(Param!$B$9=1,DbExcel!A614,DbWservice!A614)</f>
        <v>0</v>
      </c>
      <c r="B614" s="1">
        <f>IF(Param!$B$9=1,DbExcel!B614,DbWservice!B614)</f>
        <v>0</v>
      </c>
      <c r="C614" s="1">
        <f>IF(Param!$B$9=1,DbExcel!C614,DbWservice!C614)</f>
        <v>0</v>
      </c>
      <c r="D614" s="1">
        <f>IF(Param!$B$9=1,DbExcel!D614,DbWservice!D614)</f>
        <v>0</v>
      </c>
    </row>
    <row r="615" spans="1:4" x14ac:dyDescent="0.25">
      <c r="A615" s="1">
        <f>IF(Param!$B$9=1,DbExcel!A615,DbWservice!A615)</f>
        <v>0</v>
      </c>
      <c r="B615" s="1">
        <f>IF(Param!$B$9=1,DbExcel!B615,DbWservice!B615)</f>
        <v>0</v>
      </c>
      <c r="C615" s="1">
        <f>IF(Param!$B$9=1,DbExcel!C615,DbWservice!C615)</f>
        <v>0</v>
      </c>
      <c r="D615" s="1">
        <f>IF(Param!$B$9=1,DbExcel!D615,DbWservice!D615)</f>
        <v>0</v>
      </c>
    </row>
    <row r="616" spans="1:4" x14ac:dyDescent="0.25">
      <c r="A616" s="1">
        <f>IF(Param!$B$9=1,DbExcel!A616,DbWservice!A616)</f>
        <v>0</v>
      </c>
      <c r="B616" s="1">
        <f>IF(Param!$B$9=1,DbExcel!B616,DbWservice!B616)</f>
        <v>0</v>
      </c>
      <c r="C616" s="1">
        <f>IF(Param!$B$9=1,DbExcel!C616,DbWservice!C616)</f>
        <v>0</v>
      </c>
      <c r="D616" s="1">
        <f>IF(Param!$B$9=1,DbExcel!D616,DbWservice!D616)</f>
        <v>0</v>
      </c>
    </row>
    <row r="617" spans="1:4" x14ac:dyDescent="0.25">
      <c r="A617" s="1">
        <f>IF(Param!$B$9=1,DbExcel!A617,DbWservice!A617)</f>
        <v>0</v>
      </c>
      <c r="B617" s="1">
        <f>IF(Param!$B$9=1,DbExcel!B617,DbWservice!B617)</f>
        <v>0</v>
      </c>
      <c r="C617" s="1">
        <f>IF(Param!$B$9=1,DbExcel!C617,DbWservice!C617)</f>
        <v>0</v>
      </c>
      <c r="D617" s="1">
        <f>IF(Param!$B$9=1,DbExcel!D617,DbWservice!D617)</f>
        <v>0</v>
      </c>
    </row>
    <row r="618" spans="1:4" x14ac:dyDescent="0.25">
      <c r="A618" s="1">
        <f>IF(Param!$B$9=1,DbExcel!A618,DbWservice!A618)</f>
        <v>0</v>
      </c>
      <c r="B618" s="1">
        <f>IF(Param!$B$9=1,DbExcel!B618,DbWservice!B618)</f>
        <v>0</v>
      </c>
      <c r="C618" s="1">
        <f>IF(Param!$B$9=1,DbExcel!C618,DbWservice!C618)</f>
        <v>0</v>
      </c>
      <c r="D618" s="1">
        <f>IF(Param!$B$9=1,DbExcel!D618,DbWservice!D618)</f>
        <v>0</v>
      </c>
    </row>
    <row r="619" spans="1:4" x14ac:dyDescent="0.25">
      <c r="A619" s="1">
        <f>IF(Param!$B$9=1,DbExcel!A619,DbWservice!A619)</f>
        <v>0</v>
      </c>
      <c r="B619" s="1">
        <f>IF(Param!$B$9=1,DbExcel!B619,DbWservice!B619)</f>
        <v>0</v>
      </c>
      <c r="C619" s="1">
        <f>IF(Param!$B$9=1,DbExcel!C619,DbWservice!C619)</f>
        <v>0</v>
      </c>
      <c r="D619" s="1">
        <f>IF(Param!$B$9=1,DbExcel!D619,DbWservice!D619)</f>
        <v>0</v>
      </c>
    </row>
    <row r="620" spans="1:4" x14ac:dyDescent="0.25">
      <c r="A620" s="1">
        <f>IF(Param!$B$9=1,DbExcel!A620,DbWservice!A620)</f>
        <v>0</v>
      </c>
      <c r="B620" s="1">
        <f>IF(Param!$B$9=1,DbExcel!B620,DbWservice!B620)</f>
        <v>0</v>
      </c>
      <c r="C620" s="1">
        <f>IF(Param!$B$9=1,DbExcel!C620,DbWservice!C620)</f>
        <v>0</v>
      </c>
      <c r="D620" s="1">
        <f>IF(Param!$B$9=1,DbExcel!D620,DbWservice!D620)</f>
        <v>0</v>
      </c>
    </row>
    <row r="621" spans="1:4" x14ac:dyDescent="0.25">
      <c r="A621" s="1">
        <f>IF(Param!$B$9=1,DbExcel!A621,DbWservice!A621)</f>
        <v>0</v>
      </c>
      <c r="B621" s="1">
        <f>IF(Param!$B$9=1,DbExcel!B621,DbWservice!B621)</f>
        <v>0</v>
      </c>
      <c r="C621" s="1">
        <f>IF(Param!$B$9=1,DbExcel!C621,DbWservice!C621)</f>
        <v>0</v>
      </c>
      <c r="D621" s="1">
        <f>IF(Param!$B$9=1,DbExcel!D621,DbWservice!D621)</f>
        <v>0</v>
      </c>
    </row>
    <row r="622" spans="1:4" x14ac:dyDescent="0.25">
      <c r="A622" s="1">
        <f>IF(Param!$B$9=1,DbExcel!A622,DbWservice!A622)</f>
        <v>0</v>
      </c>
      <c r="B622" s="1">
        <f>IF(Param!$B$9=1,DbExcel!B622,DbWservice!B622)</f>
        <v>0</v>
      </c>
      <c r="C622" s="1">
        <f>IF(Param!$B$9=1,DbExcel!C622,DbWservice!C622)</f>
        <v>0</v>
      </c>
      <c r="D622" s="1">
        <f>IF(Param!$B$9=1,DbExcel!D622,DbWservice!D622)</f>
        <v>0</v>
      </c>
    </row>
    <row r="623" spans="1:4" x14ac:dyDescent="0.25">
      <c r="A623" s="1">
        <f>IF(Param!$B$9=1,DbExcel!A623,DbWservice!A623)</f>
        <v>0</v>
      </c>
      <c r="B623" s="1">
        <f>IF(Param!$B$9=1,DbExcel!B623,DbWservice!B623)</f>
        <v>0</v>
      </c>
      <c r="C623" s="1">
        <f>IF(Param!$B$9=1,DbExcel!C623,DbWservice!C623)</f>
        <v>0</v>
      </c>
      <c r="D623" s="1">
        <f>IF(Param!$B$9=1,DbExcel!D623,DbWservice!D623)</f>
        <v>0</v>
      </c>
    </row>
    <row r="624" spans="1:4" x14ac:dyDescent="0.25">
      <c r="A624" s="1">
        <f>IF(Param!$B$9=1,DbExcel!A624,DbWservice!A624)</f>
        <v>0</v>
      </c>
      <c r="B624" s="1">
        <f>IF(Param!$B$9=1,DbExcel!B624,DbWservice!B624)</f>
        <v>0</v>
      </c>
      <c r="C624" s="1">
        <f>IF(Param!$B$9=1,DbExcel!C624,DbWservice!C624)</f>
        <v>0</v>
      </c>
      <c r="D624" s="1">
        <f>IF(Param!$B$9=1,DbExcel!D624,DbWservice!D624)</f>
        <v>0</v>
      </c>
    </row>
    <row r="625" spans="1:4" x14ac:dyDescent="0.25">
      <c r="A625" s="1">
        <f>IF(Param!$B$9=1,DbExcel!A625,DbWservice!A625)</f>
        <v>0</v>
      </c>
      <c r="B625" s="1">
        <f>IF(Param!$B$9=1,DbExcel!B625,DbWservice!B625)</f>
        <v>0</v>
      </c>
      <c r="C625" s="1">
        <f>IF(Param!$B$9=1,DbExcel!C625,DbWservice!C625)</f>
        <v>0</v>
      </c>
      <c r="D625" s="1">
        <f>IF(Param!$B$9=1,DbExcel!D625,DbWservice!D625)</f>
        <v>0</v>
      </c>
    </row>
    <row r="626" spans="1:4" x14ac:dyDescent="0.25">
      <c r="A626" s="1">
        <f>IF(Param!$B$9=1,DbExcel!A626,DbWservice!A626)</f>
        <v>0</v>
      </c>
      <c r="B626" s="1">
        <f>IF(Param!$B$9=1,DbExcel!B626,DbWservice!B626)</f>
        <v>0</v>
      </c>
      <c r="C626" s="1">
        <f>IF(Param!$B$9=1,DbExcel!C626,DbWservice!C626)</f>
        <v>0</v>
      </c>
      <c r="D626" s="1">
        <f>IF(Param!$B$9=1,DbExcel!D626,DbWservice!D626)</f>
        <v>0</v>
      </c>
    </row>
    <row r="627" spans="1:4" x14ac:dyDescent="0.25">
      <c r="A627" s="1">
        <f>IF(Param!$B$9=1,DbExcel!A627,DbWservice!A627)</f>
        <v>0</v>
      </c>
      <c r="B627" s="1">
        <f>IF(Param!$B$9=1,DbExcel!B627,DbWservice!B627)</f>
        <v>0</v>
      </c>
      <c r="C627" s="1">
        <f>IF(Param!$B$9=1,DbExcel!C627,DbWservice!C627)</f>
        <v>0</v>
      </c>
      <c r="D627" s="1">
        <f>IF(Param!$B$9=1,DbExcel!D627,DbWservice!D627)</f>
        <v>0</v>
      </c>
    </row>
    <row r="628" spans="1:4" x14ac:dyDescent="0.25">
      <c r="A628" s="1">
        <f>IF(Param!$B$9=1,DbExcel!A628,DbWservice!A628)</f>
        <v>0</v>
      </c>
      <c r="B628" s="1">
        <f>IF(Param!$B$9=1,DbExcel!B628,DbWservice!B628)</f>
        <v>0</v>
      </c>
      <c r="C628" s="1">
        <f>IF(Param!$B$9=1,DbExcel!C628,DbWservice!C628)</f>
        <v>0</v>
      </c>
      <c r="D628" s="1">
        <f>IF(Param!$B$9=1,DbExcel!D628,DbWservice!D628)</f>
        <v>0</v>
      </c>
    </row>
    <row r="629" spans="1:4" x14ac:dyDescent="0.25">
      <c r="A629" s="1">
        <f>IF(Param!$B$9=1,DbExcel!A629,DbWservice!A629)</f>
        <v>0</v>
      </c>
      <c r="B629" s="1">
        <f>IF(Param!$B$9=1,DbExcel!B629,DbWservice!B629)</f>
        <v>0</v>
      </c>
      <c r="C629" s="1">
        <f>IF(Param!$B$9=1,DbExcel!C629,DbWservice!C629)</f>
        <v>0</v>
      </c>
      <c r="D629" s="1">
        <f>IF(Param!$B$9=1,DbExcel!D629,DbWservice!D629)</f>
        <v>0</v>
      </c>
    </row>
    <row r="630" spans="1:4" x14ac:dyDescent="0.25">
      <c r="A630" s="1">
        <f>IF(Param!$B$9=1,DbExcel!A630,DbWservice!A630)</f>
        <v>0</v>
      </c>
      <c r="B630" s="1">
        <f>IF(Param!$B$9=1,DbExcel!B630,DbWservice!B630)</f>
        <v>0</v>
      </c>
      <c r="C630" s="1">
        <f>IF(Param!$B$9=1,DbExcel!C630,DbWservice!C630)</f>
        <v>0</v>
      </c>
      <c r="D630" s="1">
        <f>IF(Param!$B$9=1,DbExcel!D630,DbWservice!D630)</f>
        <v>0</v>
      </c>
    </row>
    <row r="631" spans="1:4" x14ac:dyDescent="0.25">
      <c r="A631" s="1">
        <f>IF(Param!$B$9=1,DbExcel!A631,DbWservice!A631)</f>
        <v>0</v>
      </c>
      <c r="B631" s="1">
        <f>IF(Param!$B$9=1,DbExcel!B631,DbWservice!B631)</f>
        <v>0</v>
      </c>
      <c r="C631" s="1">
        <f>IF(Param!$B$9=1,DbExcel!C631,DbWservice!C631)</f>
        <v>0</v>
      </c>
      <c r="D631" s="1">
        <f>IF(Param!$B$9=1,DbExcel!D631,DbWservice!D631)</f>
        <v>0</v>
      </c>
    </row>
    <row r="632" spans="1:4" x14ac:dyDescent="0.25">
      <c r="A632" s="1">
        <f>IF(Param!$B$9=1,DbExcel!A632,DbWservice!A632)</f>
        <v>0</v>
      </c>
      <c r="B632" s="1">
        <f>IF(Param!$B$9=1,DbExcel!B632,DbWservice!B632)</f>
        <v>0</v>
      </c>
      <c r="C632" s="1">
        <f>IF(Param!$B$9=1,DbExcel!C632,DbWservice!C632)</f>
        <v>0</v>
      </c>
      <c r="D632" s="1">
        <f>IF(Param!$B$9=1,DbExcel!D632,DbWservice!D632)</f>
        <v>0</v>
      </c>
    </row>
    <row r="633" spans="1:4" x14ac:dyDescent="0.25">
      <c r="A633" s="1">
        <f>IF(Param!$B$9=1,DbExcel!A633,DbWservice!A633)</f>
        <v>0</v>
      </c>
      <c r="B633" s="1">
        <f>IF(Param!$B$9=1,DbExcel!B633,DbWservice!B633)</f>
        <v>0</v>
      </c>
      <c r="C633" s="1">
        <f>IF(Param!$B$9=1,DbExcel!C633,DbWservice!C633)</f>
        <v>0</v>
      </c>
      <c r="D633" s="1">
        <f>IF(Param!$B$9=1,DbExcel!D633,DbWservice!D633)</f>
        <v>0</v>
      </c>
    </row>
    <row r="634" spans="1:4" x14ac:dyDescent="0.25">
      <c r="A634" s="1">
        <f>IF(Param!$B$9=1,DbExcel!A634,DbWservice!A634)</f>
        <v>0</v>
      </c>
      <c r="B634" s="1">
        <f>IF(Param!$B$9=1,DbExcel!B634,DbWservice!B634)</f>
        <v>0</v>
      </c>
      <c r="C634" s="1">
        <f>IF(Param!$B$9=1,DbExcel!C634,DbWservice!C634)</f>
        <v>0</v>
      </c>
      <c r="D634" s="1">
        <f>IF(Param!$B$9=1,DbExcel!D634,DbWservice!D634)</f>
        <v>0</v>
      </c>
    </row>
    <row r="635" spans="1:4" x14ac:dyDescent="0.25">
      <c r="A635" s="1">
        <f>IF(Param!$B$9=1,DbExcel!A635,DbWservice!A635)</f>
        <v>0</v>
      </c>
      <c r="B635" s="1">
        <f>IF(Param!$B$9=1,DbExcel!B635,DbWservice!B635)</f>
        <v>0</v>
      </c>
      <c r="C635" s="1">
        <f>IF(Param!$B$9=1,DbExcel!C635,DbWservice!C635)</f>
        <v>0</v>
      </c>
      <c r="D635" s="1">
        <f>IF(Param!$B$9=1,DbExcel!D635,DbWservice!D635)</f>
        <v>0</v>
      </c>
    </row>
    <row r="636" spans="1:4" x14ac:dyDescent="0.25">
      <c r="A636" s="1">
        <f>IF(Param!$B$9=1,DbExcel!A636,DbWservice!A636)</f>
        <v>0</v>
      </c>
      <c r="B636" s="1">
        <f>IF(Param!$B$9=1,DbExcel!B636,DbWservice!B636)</f>
        <v>0</v>
      </c>
      <c r="C636" s="1">
        <f>IF(Param!$B$9=1,DbExcel!C636,DbWservice!C636)</f>
        <v>0</v>
      </c>
      <c r="D636" s="1">
        <f>IF(Param!$B$9=1,DbExcel!D636,DbWservice!D636)</f>
        <v>0</v>
      </c>
    </row>
    <row r="637" spans="1:4" x14ac:dyDescent="0.25">
      <c r="A637" s="1">
        <f>IF(Param!$B$9=1,DbExcel!A637,DbWservice!A637)</f>
        <v>0</v>
      </c>
      <c r="B637" s="1">
        <f>IF(Param!$B$9=1,DbExcel!B637,DbWservice!B637)</f>
        <v>0</v>
      </c>
      <c r="C637" s="1">
        <f>IF(Param!$B$9=1,DbExcel!C637,DbWservice!C637)</f>
        <v>0</v>
      </c>
      <c r="D637" s="1">
        <f>IF(Param!$B$9=1,DbExcel!D637,DbWservice!D637)</f>
        <v>0</v>
      </c>
    </row>
    <row r="638" spans="1:4" x14ac:dyDescent="0.25">
      <c r="A638" s="1">
        <f>IF(Param!$B$9=1,DbExcel!A638,DbWservice!A638)</f>
        <v>0</v>
      </c>
      <c r="B638" s="1">
        <f>IF(Param!$B$9=1,DbExcel!B638,DbWservice!B638)</f>
        <v>0</v>
      </c>
      <c r="C638" s="1">
        <f>IF(Param!$B$9=1,DbExcel!C638,DbWservice!C638)</f>
        <v>0</v>
      </c>
      <c r="D638" s="1">
        <f>IF(Param!$B$9=1,DbExcel!D638,DbWservice!D638)</f>
        <v>0</v>
      </c>
    </row>
    <row r="639" spans="1:4" x14ac:dyDescent="0.25">
      <c r="A639" s="1">
        <f>IF(Param!$B$9=1,DbExcel!A639,DbWservice!A639)</f>
        <v>0</v>
      </c>
      <c r="B639" s="1">
        <f>IF(Param!$B$9=1,DbExcel!B639,DbWservice!B639)</f>
        <v>0</v>
      </c>
      <c r="C639" s="1">
        <f>IF(Param!$B$9=1,DbExcel!C639,DbWservice!C639)</f>
        <v>0</v>
      </c>
      <c r="D639" s="1">
        <f>IF(Param!$B$9=1,DbExcel!D639,DbWservice!D639)</f>
        <v>0</v>
      </c>
    </row>
    <row r="640" spans="1:4" x14ac:dyDescent="0.25">
      <c r="A640" s="1">
        <f>IF(Param!$B$9=1,DbExcel!A640,DbWservice!A640)</f>
        <v>0</v>
      </c>
      <c r="B640" s="1">
        <f>IF(Param!$B$9=1,DbExcel!B640,DbWservice!B640)</f>
        <v>0</v>
      </c>
      <c r="C640" s="1">
        <f>IF(Param!$B$9=1,DbExcel!C640,DbWservice!C640)</f>
        <v>0</v>
      </c>
      <c r="D640" s="1">
        <f>IF(Param!$B$9=1,DbExcel!D640,DbWservice!D640)</f>
        <v>0</v>
      </c>
    </row>
    <row r="641" spans="1:4" x14ac:dyDescent="0.25">
      <c r="A641" s="1">
        <f>IF(Param!$B$9=1,DbExcel!A641,DbWservice!A641)</f>
        <v>0</v>
      </c>
      <c r="B641" s="1">
        <f>IF(Param!$B$9=1,DbExcel!B641,DbWservice!B641)</f>
        <v>0</v>
      </c>
      <c r="C641" s="1">
        <f>IF(Param!$B$9=1,DbExcel!C641,DbWservice!C641)</f>
        <v>0</v>
      </c>
      <c r="D641" s="1">
        <f>IF(Param!$B$9=1,DbExcel!D641,DbWservice!D641)</f>
        <v>0</v>
      </c>
    </row>
    <row r="642" spans="1:4" x14ac:dyDescent="0.25">
      <c r="A642" s="1">
        <f>IF(Param!$B$9=1,DbExcel!A642,DbWservice!A642)</f>
        <v>0</v>
      </c>
      <c r="B642" s="1">
        <f>IF(Param!$B$9=1,DbExcel!B642,DbWservice!B642)</f>
        <v>0</v>
      </c>
      <c r="C642" s="1">
        <f>IF(Param!$B$9=1,DbExcel!C642,DbWservice!C642)</f>
        <v>0</v>
      </c>
      <c r="D642" s="1">
        <f>IF(Param!$B$9=1,DbExcel!D642,DbWservice!D642)</f>
        <v>0</v>
      </c>
    </row>
    <row r="643" spans="1:4" x14ac:dyDescent="0.25">
      <c r="A643" s="1">
        <f>IF(Param!$B$9=1,DbExcel!A643,DbWservice!A643)</f>
        <v>0</v>
      </c>
      <c r="B643" s="1">
        <f>IF(Param!$B$9=1,DbExcel!B643,DbWservice!B643)</f>
        <v>0</v>
      </c>
      <c r="C643" s="1">
        <f>IF(Param!$B$9=1,DbExcel!C643,DbWservice!C643)</f>
        <v>0</v>
      </c>
      <c r="D643" s="1">
        <f>IF(Param!$B$9=1,DbExcel!D643,DbWservice!D643)</f>
        <v>0</v>
      </c>
    </row>
    <row r="644" spans="1:4" x14ac:dyDescent="0.25">
      <c r="A644" s="1">
        <f>IF(Param!$B$9=1,DbExcel!A644,DbWservice!A644)</f>
        <v>0</v>
      </c>
      <c r="B644" s="1">
        <f>IF(Param!$B$9=1,DbExcel!B644,DbWservice!B644)</f>
        <v>0</v>
      </c>
      <c r="C644" s="1">
        <f>IF(Param!$B$9=1,DbExcel!C644,DbWservice!C644)</f>
        <v>0</v>
      </c>
      <c r="D644" s="1">
        <f>IF(Param!$B$9=1,DbExcel!D644,DbWservice!D644)</f>
        <v>0</v>
      </c>
    </row>
    <row r="645" spans="1:4" x14ac:dyDescent="0.25">
      <c r="A645" s="1">
        <f>IF(Param!$B$9=1,DbExcel!A645,DbWservice!A645)</f>
        <v>0</v>
      </c>
      <c r="B645" s="1">
        <f>IF(Param!$B$9=1,DbExcel!B645,DbWservice!B645)</f>
        <v>0</v>
      </c>
      <c r="C645" s="1">
        <f>IF(Param!$B$9=1,DbExcel!C645,DbWservice!C645)</f>
        <v>0</v>
      </c>
      <c r="D645" s="1">
        <f>IF(Param!$B$9=1,DbExcel!D645,DbWservice!D645)</f>
        <v>0</v>
      </c>
    </row>
    <row r="646" spans="1:4" x14ac:dyDescent="0.25">
      <c r="A646" s="1">
        <f>IF(Param!$B$9=1,DbExcel!A646,DbWservice!A646)</f>
        <v>0</v>
      </c>
      <c r="B646" s="1">
        <f>IF(Param!$B$9=1,DbExcel!B646,DbWservice!B646)</f>
        <v>0</v>
      </c>
      <c r="C646" s="1">
        <f>IF(Param!$B$9=1,DbExcel!C646,DbWservice!C646)</f>
        <v>0</v>
      </c>
      <c r="D646" s="1">
        <f>IF(Param!$B$9=1,DbExcel!D646,DbWservice!D646)</f>
        <v>0</v>
      </c>
    </row>
    <row r="647" spans="1:4" x14ac:dyDescent="0.25">
      <c r="A647" s="1">
        <f>IF(Param!$B$9=1,DbExcel!A647,DbWservice!A647)</f>
        <v>0</v>
      </c>
      <c r="B647" s="1">
        <f>IF(Param!$B$9=1,DbExcel!B647,DbWservice!B647)</f>
        <v>0</v>
      </c>
      <c r="C647" s="1">
        <f>IF(Param!$B$9=1,DbExcel!C647,DbWservice!C647)</f>
        <v>0</v>
      </c>
      <c r="D647" s="1">
        <f>IF(Param!$B$9=1,DbExcel!D647,DbWservice!D647)</f>
        <v>0</v>
      </c>
    </row>
    <row r="648" spans="1:4" x14ac:dyDescent="0.25">
      <c r="A648" s="1">
        <f>IF(Param!$B$9=1,DbExcel!A648,DbWservice!A648)</f>
        <v>0</v>
      </c>
      <c r="B648" s="1">
        <f>IF(Param!$B$9=1,DbExcel!B648,DbWservice!B648)</f>
        <v>0</v>
      </c>
      <c r="C648" s="1">
        <f>IF(Param!$B$9=1,DbExcel!C648,DbWservice!C648)</f>
        <v>0</v>
      </c>
      <c r="D648" s="1">
        <f>IF(Param!$B$9=1,DbExcel!D648,DbWservice!D648)</f>
        <v>0</v>
      </c>
    </row>
    <row r="649" spans="1:4" x14ac:dyDescent="0.25">
      <c r="A649" s="1">
        <f>IF(Param!$B$9=1,DbExcel!A649,DbWservice!A649)</f>
        <v>0</v>
      </c>
      <c r="B649" s="1">
        <f>IF(Param!$B$9=1,DbExcel!B649,DbWservice!B649)</f>
        <v>0</v>
      </c>
      <c r="C649" s="1">
        <f>IF(Param!$B$9=1,DbExcel!C649,DbWservice!C649)</f>
        <v>0</v>
      </c>
      <c r="D649" s="1">
        <f>IF(Param!$B$9=1,DbExcel!D649,DbWservice!D649)</f>
        <v>0</v>
      </c>
    </row>
    <row r="650" spans="1:4" x14ac:dyDescent="0.25">
      <c r="A650" s="1">
        <f>IF(Param!$B$9=1,DbExcel!A650,DbWservice!A650)</f>
        <v>0</v>
      </c>
      <c r="B650" s="1">
        <f>IF(Param!$B$9=1,DbExcel!B650,DbWservice!B650)</f>
        <v>0</v>
      </c>
      <c r="C650" s="1">
        <f>IF(Param!$B$9=1,DbExcel!C650,DbWservice!C650)</f>
        <v>0</v>
      </c>
      <c r="D650" s="1">
        <f>IF(Param!$B$9=1,DbExcel!D650,DbWservice!D650)</f>
        <v>0</v>
      </c>
    </row>
    <row r="651" spans="1:4" x14ac:dyDescent="0.25">
      <c r="A651" s="1">
        <f>IF(Param!$B$9=1,DbExcel!A651,DbWservice!A651)</f>
        <v>0</v>
      </c>
      <c r="B651" s="1">
        <f>IF(Param!$B$9=1,DbExcel!B651,DbWservice!B651)</f>
        <v>0</v>
      </c>
      <c r="C651" s="1">
        <f>IF(Param!$B$9=1,DbExcel!C651,DbWservice!C651)</f>
        <v>0</v>
      </c>
      <c r="D651" s="1">
        <f>IF(Param!$B$9=1,DbExcel!D651,DbWservice!D651)</f>
        <v>0</v>
      </c>
    </row>
    <row r="652" spans="1:4" x14ac:dyDescent="0.25">
      <c r="A652" s="1">
        <f>IF(Param!$B$9=1,DbExcel!A652,DbWservice!A652)</f>
        <v>0</v>
      </c>
      <c r="B652" s="1">
        <f>IF(Param!$B$9=1,DbExcel!B652,DbWservice!B652)</f>
        <v>0</v>
      </c>
      <c r="C652" s="1">
        <f>IF(Param!$B$9=1,DbExcel!C652,DbWservice!C652)</f>
        <v>0</v>
      </c>
      <c r="D652" s="1">
        <f>IF(Param!$B$9=1,DbExcel!D652,DbWservice!D652)</f>
        <v>0</v>
      </c>
    </row>
    <row r="653" spans="1:4" x14ac:dyDescent="0.25">
      <c r="A653" s="1">
        <f>IF(Param!$B$9=1,DbExcel!A653,DbWservice!A653)</f>
        <v>0</v>
      </c>
      <c r="B653" s="1">
        <f>IF(Param!$B$9=1,DbExcel!B653,DbWservice!B653)</f>
        <v>0</v>
      </c>
      <c r="C653" s="1">
        <f>IF(Param!$B$9=1,DbExcel!C653,DbWservice!C653)</f>
        <v>0</v>
      </c>
      <c r="D653" s="1">
        <f>IF(Param!$B$9=1,DbExcel!D653,DbWservice!D653)</f>
        <v>0</v>
      </c>
    </row>
    <row r="654" spans="1:4" x14ac:dyDescent="0.25">
      <c r="A654" s="1">
        <f>IF(Param!$B$9=1,DbExcel!A654,DbWservice!A654)</f>
        <v>0</v>
      </c>
      <c r="B654" s="1">
        <f>IF(Param!$B$9=1,DbExcel!B654,DbWservice!B654)</f>
        <v>0</v>
      </c>
      <c r="C654" s="1">
        <f>IF(Param!$B$9=1,DbExcel!C654,DbWservice!C654)</f>
        <v>0</v>
      </c>
      <c r="D654" s="1">
        <f>IF(Param!$B$9=1,DbExcel!D654,DbWservice!D654)</f>
        <v>0</v>
      </c>
    </row>
    <row r="655" spans="1:4" x14ac:dyDescent="0.25">
      <c r="A655" s="1">
        <f>IF(Param!$B$9=1,DbExcel!A655,DbWservice!A655)</f>
        <v>0</v>
      </c>
      <c r="B655" s="1">
        <f>IF(Param!$B$9=1,DbExcel!B655,DbWservice!B655)</f>
        <v>0</v>
      </c>
      <c r="C655" s="1">
        <f>IF(Param!$B$9=1,DbExcel!C655,DbWservice!C655)</f>
        <v>0</v>
      </c>
      <c r="D655" s="1">
        <f>IF(Param!$B$9=1,DbExcel!D655,DbWservice!D655)</f>
        <v>0</v>
      </c>
    </row>
    <row r="656" spans="1:4" x14ac:dyDescent="0.25">
      <c r="A656" s="1">
        <f>IF(Param!$B$9=1,DbExcel!A656,DbWservice!A656)</f>
        <v>0</v>
      </c>
      <c r="B656" s="1">
        <f>IF(Param!$B$9=1,DbExcel!B656,DbWservice!B656)</f>
        <v>0</v>
      </c>
      <c r="C656" s="1">
        <f>IF(Param!$B$9=1,DbExcel!C656,DbWservice!C656)</f>
        <v>0</v>
      </c>
      <c r="D656" s="1">
        <f>IF(Param!$B$9=1,DbExcel!D656,DbWservice!D656)</f>
        <v>0</v>
      </c>
    </row>
    <row r="657" spans="1:4" x14ac:dyDescent="0.25">
      <c r="A657" s="1">
        <f>IF(Param!$B$9=1,DbExcel!A657,DbWservice!A657)</f>
        <v>0</v>
      </c>
      <c r="B657" s="1">
        <f>IF(Param!$B$9=1,DbExcel!B657,DbWservice!B657)</f>
        <v>0</v>
      </c>
      <c r="C657" s="1">
        <f>IF(Param!$B$9=1,DbExcel!C657,DbWservice!C657)</f>
        <v>0</v>
      </c>
      <c r="D657" s="1">
        <f>IF(Param!$B$9=1,DbExcel!D657,DbWservice!D657)</f>
        <v>0</v>
      </c>
    </row>
    <row r="658" spans="1:4" x14ac:dyDescent="0.25">
      <c r="A658" s="1">
        <f>IF(Param!$B$9=1,DbExcel!A658,DbWservice!A658)</f>
        <v>0</v>
      </c>
      <c r="B658" s="1">
        <f>IF(Param!$B$9=1,DbExcel!B658,DbWservice!B658)</f>
        <v>0</v>
      </c>
      <c r="C658" s="1">
        <f>IF(Param!$B$9=1,DbExcel!C658,DbWservice!C658)</f>
        <v>0</v>
      </c>
      <c r="D658" s="1">
        <f>IF(Param!$B$9=1,DbExcel!D658,DbWservice!D658)</f>
        <v>0</v>
      </c>
    </row>
    <row r="659" spans="1:4" x14ac:dyDescent="0.25">
      <c r="A659" s="1">
        <f>IF(Param!$B$9=1,DbExcel!A659,DbWservice!A659)</f>
        <v>0</v>
      </c>
      <c r="B659" s="1">
        <f>IF(Param!$B$9=1,DbExcel!B659,DbWservice!B659)</f>
        <v>0</v>
      </c>
      <c r="C659" s="1">
        <f>IF(Param!$B$9=1,DbExcel!C659,DbWservice!C659)</f>
        <v>0</v>
      </c>
      <c r="D659" s="1">
        <f>IF(Param!$B$9=1,DbExcel!D659,DbWservice!D659)</f>
        <v>0</v>
      </c>
    </row>
    <row r="660" spans="1:4" x14ac:dyDescent="0.25">
      <c r="A660" s="1">
        <f>IF(Param!$B$9=1,DbExcel!A660,DbWservice!A660)</f>
        <v>0</v>
      </c>
      <c r="B660" s="1">
        <f>IF(Param!$B$9=1,DbExcel!B660,DbWservice!B660)</f>
        <v>0</v>
      </c>
      <c r="C660" s="1">
        <f>IF(Param!$B$9=1,DbExcel!C660,DbWservice!C660)</f>
        <v>0</v>
      </c>
      <c r="D660" s="1">
        <f>IF(Param!$B$9=1,DbExcel!D660,DbWservice!D660)</f>
        <v>0</v>
      </c>
    </row>
    <row r="661" spans="1:4" x14ac:dyDescent="0.25">
      <c r="A661" s="1">
        <f>IF(Param!$B$9=1,DbExcel!A661,DbWservice!A661)</f>
        <v>0</v>
      </c>
      <c r="B661" s="1">
        <f>IF(Param!$B$9=1,DbExcel!B661,DbWservice!B661)</f>
        <v>0</v>
      </c>
      <c r="C661" s="1">
        <f>IF(Param!$B$9=1,DbExcel!C661,DbWservice!C661)</f>
        <v>0</v>
      </c>
      <c r="D661" s="1">
        <f>IF(Param!$B$9=1,DbExcel!D661,DbWservice!D661)</f>
        <v>0</v>
      </c>
    </row>
    <row r="662" spans="1:4" x14ac:dyDescent="0.25">
      <c r="A662" s="1">
        <f>IF(Param!$B$9=1,DbExcel!A662,DbWservice!A662)</f>
        <v>0</v>
      </c>
      <c r="B662" s="1">
        <f>IF(Param!$B$9=1,DbExcel!B662,DbWservice!B662)</f>
        <v>0</v>
      </c>
      <c r="C662" s="1">
        <f>IF(Param!$B$9=1,DbExcel!C662,DbWservice!C662)</f>
        <v>0</v>
      </c>
      <c r="D662" s="1">
        <f>IF(Param!$B$9=1,DbExcel!D662,DbWservice!D662)</f>
        <v>0</v>
      </c>
    </row>
    <row r="663" spans="1:4" x14ac:dyDescent="0.25">
      <c r="A663" s="1">
        <f>IF(Param!$B$9=1,DbExcel!A663,DbWservice!A663)</f>
        <v>0</v>
      </c>
      <c r="B663" s="1">
        <f>IF(Param!$B$9=1,DbExcel!B663,DbWservice!B663)</f>
        <v>0</v>
      </c>
      <c r="C663" s="1">
        <f>IF(Param!$B$9=1,DbExcel!C663,DbWservice!C663)</f>
        <v>0</v>
      </c>
      <c r="D663" s="1">
        <f>IF(Param!$B$9=1,DbExcel!D663,DbWservice!D663)</f>
        <v>0</v>
      </c>
    </row>
    <row r="664" spans="1:4" x14ac:dyDescent="0.25">
      <c r="A664" s="1">
        <f>IF(Param!$B$9=1,DbExcel!A664,DbWservice!A664)</f>
        <v>0</v>
      </c>
      <c r="B664" s="1">
        <f>IF(Param!$B$9=1,DbExcel!B664,DbWservice!B664)</f>
        <v>0</v>
      </c>
      <c r="C664" s="1">
        <f>IF(Param!$B$9=1,DbExcel!C664,DbWservice!C664)</f>
        <v>0</v>
      </c>
      <c r="D664" s="1">
        <f>IF(Param!$B$9=1,DbExcel!D664,DbWservice!D664)</f>
        <v>0</v>
      </c>
    </row>
    <row r="665" spans="1:4" x14ac:dyDescent="0.25">
      <c r="A665" s="1">
        <f>IF(Param!$B$9=1,DbExcel!A665,DbWservice!A665)</f>
        <v>0</v>
      </c>
      <c r="B665" s="1">
        <f>IF(Param!$B$9=1,DbExcel!B665,DbWservice!B665)</f>
        <v>0</v>
      </c>
      <c r="C665" s="1">
        <f>IF(Param!$B$9=1,DbExcel!C665,DbWservice!C665)</f>
        <v>0</v>
      </c>
      <c r="D665" s="1">
        <f>IF(Param!$B$9=1,DbExcel!D665,DbWservice!D665)</f>
        <v>0</v>
      </c>
    </row>
    <row r="666" spans="1:4" x14ac:dyDescent="0.25">
      <c r="A666" s="1">
        <f>IF(Param!$B$9=1,DbExcel!A666,DbWservice!A666)</f>
        <v>0</v>
      </c>
      <c r="B666" s="1">
        <f>IF(Param!$B$9=1,DbExcel!B666,DbWservice!B666)</f>
        <v>0</v>
      </c>
      <c r="C666" s="1">
        <f>IF(Param!$B$9=1,DbExcel!C666,DbWservice!C666)</f>
        <v>0</v>
      </c>
      <c r="D666" s="1">
        <f>IF(Param!$B$9=1,DbExcel!D666,DbWservice!D666)</f>
        <v>0</v>
      </c>
    </row>
    <row r="667" spans="1:4" x14ac:dyDescent="0.25">
      <c r="A667" s="1">
        <f>IF(Param!$B$9=1,DbExcel!A667,DbWservice!A667)</f>
        <v>0</v>
      </c>
      <c r="B667" s="1">
        <f>IF(Param!$B$9=1,DbExcel!B667,DbWservice!B667)</f>
        <v>0</v>
      </c>
      <c r="C667" s="1">
        <f>IF(Param!$B$9=1,DbExcel!C667,DbWservice!C667)</f>
        <v>0</v>
      </c>
      <c r="D667" s="1">
        <f>IF(Param!$B$9=1,DbExcel!D667,DbWservice!D667)</f>
        <v>0</v>
      </c>
    </row>
    <row r="668" spans="1:4" x14ac:dyDescent="0.25">
      <c r="A668" s="1">
        <f>IF(Param!$B$9=1,DbExcel!A668,DbWservice!A668)</f>
        <v>0</v>
      </c>
      <c r="B668" s="1">
        <f>IF(Param!$B$9=1,DbExcel!B668,DbWservice!B668)</f>
        <v>0</v>
      </c>
      <c r="C668" s="1">
        <f>IF(Param!$B$9=1,DbExcel!C668,DbWservice!C668)</f>
        <v>0</v>
      </c>
      <c r="D668" s="1">
        <f>IF(Param!$B$9=1,DbExcel!D668,DbWservice!D668)</f>
        <v>0</v>
      </c>
    </row>
    <row r="669" spans="1:4" x14ac:dyDescent="0.25">
      <c r="A669" s="1">
        <f>IF(Param!$B$9=1,DbExcel!A669,DbWservice!A669)</f>
        <v>0</v>
      </c>
      <c r="B669" s="1">
        <f>IF(Param!$B$9=1,DbExcel!B669,DbWservice!B669)</f>
        <v>0</v>
      </c>
      <c r="C669" s="1">
        <f>IF(Param!$B$9=1,DbExcel!C669,DbWservice!C669)</f>
        <v>0</v>
      </c>
      <c r="D669" s="1">
        <f>IF(Param!$B$9=1,DbExcel!D669,DbWservice!D669)</f>
        <v>0</v>
      </c>
    </row>
    <row r="670" spans="1:4" x14ac:dyDescent="0.25">
      <c r="A670" s="1">
        <f>IF(Param!$B$9=1,DbExcel!A670,DbWservice!A670)</f>
        <v>0</v>
      </c>
      <c r="B670" s="1">
        <f>IF(Param!$B$9=1,DbExcel!B670,DbWservice!B670)</f>
        <v>0</v>
      </c>
      <c r="C670" s="1">
        <f>IF(Param!$B$9=1,DbExcel!C670,DbWservice!C670)</f>
        <v>0</v>
      </c>
      <c r="D670" s="1">
        <f>IF(Param!$B$9=1,DbExcel!D670,DbWservice!D670)</f>
        <v>0</v>
      </c>
    </row>
    <row r="671" spans="1:4" x14ac:dyDescent="0.25">
      <c r="A671" s="1">
        <f>IF(Param!$B$9=1,DbExcel!A671,DbWservice!A671)</f>
        <v>0</v>
      </c>
      <c r="B671" s="1">
        <f>IF(Param!$B$9=1,DbExcel!B671,DbWservice!B671)</f>
        <v>0</v>
      </c>
      <c r="C671" s="1">
        <f>IF(Param!$B$9=1,DbExcel!C671,DbWservice!C671)</f>
        <v>0</v>
      </c>
      <c r="D671" s="1">
        <f>IF(Param!$B$9=1,DbExcel!D671,DbWservice!D671)</f>
        <v>0</v>
      </c>
    </row>
    <row r="672" spans="1:4" x14ac:dyDescent="0.25">
      <c r="A672" s="1">
        <f>IF(Param!$B$9=1,DbExcel!A672,DbWservice!A672)</f>
        <v>0</v>
      </c>
      <c r="B672" s="1">
        <f>IF(Param!$B$9=1,DbExcel!B672,DbWservice!B672)</f>
        <v>0</v>
      </c>
      <c r="C672" s="1">
        <f>IF(Param!$B$9=1,DbExcel!C672,DbWservice!C672)</f>
        <v>0</v>
      </c>
      <c r="D672" s="1">
        <f>IF(Param!$B$9=1,DbExcel!D672,DbWservice!D672)</f>
        <v>0</v>
      </c>
    </row>
    <row r="673" spans="1:4" x14ac:dyDescent="0.25">
      <c r="A673" s="1">
        <f>IF(Param!$B$9=1,DbExcel!A673,DbWservice!A673)</f>
        <v>0</v>
      </c>
      <c r="B673" s="1">
        <f>IF(Param!$B$9=1,DbExcel!B673,DbWservice!B673)</f>
        <v>0</v>
      </c>
      <c r="C673" s="1">
        <f>IF(Param!$B$9=1,DbExcel!C673,DbWservice!C673)</f>
        <v>0</v>
      </c>
      <c r="D673" s="1">
        <f>IF(Param!$B$9=1,DbExcel!D673,DbWservice!D673)</f>
        <v>0</v>
      </c>
    </row>
    <row r="674" spans="1:4" x14ac:dyDescent="0.25">
      <c r="A674" s="1">
        <f>IF(Param!$B$9=1,DbExcel!A674,DbWservice!A674)</f>
        <v>0</v>
      </c>
      <c r="B674" s="1">
        <f>IF(Param!$B$9=1,DbExcel!B674,DbWservice!B674)</f>
        <v>0</v>
      </c>
      <c r="C674" s="1">
        <f>IF(Param!$B$9=1,DbExcel!C674,DbWservice!C674)</f>
        <v>0</v>
      </c>
      <c r="D674" s="1">
        <f>IF(Param!$B$9=1,DbExcel!D674,DbWservice!D674)</f>
        <v>0</v>
      </c>
    </row>
    <row r="675" spans="1:4" x14ac:dyDescent="0.25">
      <c r="A675" s="1">
        <f>IF(Param!$B$9=1,DbExcel!A675,DbWservice!A675)</f>
        <v>0</v>
      </c>
      <c r="B675" s="1">
        <f>IF(Param!$B$9=1,DbExcel!B675,DbWservice!B675)</f>
        <v>0</v>
      </c>
      <c r="C675" s="1">
        <f>IF(Param!$B$9=1,DbExcel!C675,DbWservice!C675)</f>
        <v>0</v>
      </c>
      <c r="D675" s="1">
        <f>IF(Param!$B$9=1,DbExcel!D675,DbWservice!D675)</f>
        <v>0</v>
      </c>
    </row>
    <row r="676" spans="1:4" x14ac:dyDescent="0.25">
      <c r="A676" s="1">
        <f>IF(Param!$B$9=1,DbExcel!A676,DbWservice!A676)</f>
        <v>0</v>
      </c>
      <c r="B676" s="1">
        <f>IF(Param!$B$9=1,DbExcel!B676,DbWservice!B676)</f>
        <v>0</v>
      </c>
      <c r="C676" s="1">
        <f>IF(Param!$B$9=1,DbExcel!C676,DbWservice!C676)</f>
        <v>0</v>
      </c>
      <c r="D676" s="1">
        <f>IF(Param!$B$9=1,DbExcel!D676,DbWservice!D676)</f>
        <v>0</v>
      </c>
    </row>
    <row r="677" spans="1:4" x14ac:dyDescent="0.25">
      <c r="A677" s="1">
        <f>IF(Param!$B$9=1,DbExcel!A677,DbWservice!A677)</f>
        <v>0</v>
      </c>
      <c r="B677" s="1">
        <f>IF(Param!$B$9=1,DbExcel!B677,DbWservice!B677)</f>
        <v>0</v>
      </c>
      <c r="C677" s="1">
        <f>IF(Param!$B$9=1,DbExcel!C677,DbWservice!C677)</f>
        <v>0</v>
      </c>
      <c r="D677" s="1">
        <f>IF(Param!$B$9=1,DbExcel!D677,DbWservice!D677)</f>
        <v>0</v>
      </c>
    </row>
    <row r="678" spans="1:4" x14ac:dyDescent="0.25">
      <c r="A678" s="1">
        <f>IF(Param!$B$9=1,DbExcel!A678,DbWservice!A678)</f>
        <v>0</v>
      </c>
      <c r="B678" s="1">
        <f>IF(Param!$B$9=1,DbExcel!B678,DbWservice!B678)</f>
        <v>0</v>
      </c>
      <c r="C678" s="1">
        <f>IF(Param!$B$9=1,DbExcel!C678,DbWservice!C678)</f>
        <v>0</v>
      </c>
      <c r="D678" s="1">
        <f>IF(Param!$B$9=1,DbExcel!D678,DbWservice!D678)</f>
        <v>0</v>
      </c>
    </row>
    <row r="679" spans="1:4" x14ac:dyDescent="0.25">
      <c r="A679" s="1">
        <f>IF(Param!$B$9=1,DbExcel!A679,DbWservice!A679)</f>
        <v>0</v>
      </c>
      <c r="B679" s="1">
        <f>IF(Param!$B$9=1,DbExcel!B679,DbWservice!B679)</f>
        <v>0</v>
      </c>
      <c r="C679" s="1">
        <f>IF(Param!$B$9=1,DbExcel!C679,DbWservice!C679)</f>
        <v>0</v>
      </c>
      <c r="D679" s="1">
        <f>IF(Param!$B$9=1,DbExcel!D679,DbWservice!D679)</f>
        <v>0</v>
      </c>
    </row>
    <row r="680" spans="1:4" x14ac:dyDescent="0.25">
      <c r="A680" s="1">
        <f>IF(Param!$B$9=1,DbExcel!A680,DbWservice!A680)</f>
        <v>0</v>
      </c>
      <c r="B680" s="1">
        <f>IF(Param!$B$9=1,DbExcel!B680,DbWservice!B680)</f>
        <v>0</v>
      </c>
      <c r="C680" s="1">
        <f>IF(Param!$B$9=1,DbExcel!C680,DbWservice!C680)</f>
        <v>0</v>
      </c>
      <c r="D680" s="1">
        <f>IF(Param!$B$9=1,DbExcel!D680,DbWservice!D680)</f>
        <v>0</v>
      </c>
    </row>
    <row r="681" spans="1:4" x14ac:dyDescent="0.25">
      <c r="A681" s="1">
        <f>IF(Param!$B$9=1,DbExcel!A681,DbWservice!A681)</f>
        <v>0</v>
      </c>
      <c r="B681" s="1">
        <f>IF(Param!$B$9=1,DbExcel!B681,DbWservice!B681)</f>
        <v>0</v>
      </c>
      <c r="C681" s="1">
        <f>IF(Param!$B$9=1,DbExcel!C681,DbWservice!C681)</f>
        <v>0</v>
      </c>
      <c r="D681" s="1">
        <f>IF(Param!$B$9=1,DbExcel!D681,DbWservice!D681)</f>
        <v>0</v>
      </c>
    </row>
    <row r="682" spans="1:4" x14ac:dyDescent="0.25">
      <c r="A682" s="1">
        <f>IF(Param!$B$9=1,DbExcel!A682,DbWservice!A682)</f>
        <v>0</v>
      </c>
      <c r="B682" s="1">
        <f>IF(Param!$B$9=1,DbExcel!B682,DbWservice!B682)</f>
        <v>0</v>
      </c>
      <c r="C682" s="1">
        <f>IF(Param!$B$9=1,DbExcel!C682,DbWservice!C682)</f>
        <v>0</v>
      </c>
      <c r="D682" s="1">
        <f>IF(Param!$B$9=1,DbExcel!D682,DbWservice!D682)</f>
        <v>0</v>
      </c>
    </row>
    <row r="683" spans="1:4" x14ac:dyDescent="0.25">
      <c r="A683" s="1">
        <f>IF(Param!$B$9=1,DbExcel!A683,DbWservice!A683)</f>
        <v>0</v>
      </c>
      <c r="B683" s="1">
        <f>IF(Param!$B$9=1,DbExcel!B683,DbWservice!B683)</f>
        <v>0</v>
      </c>
      <c r="C683" s="1">
        <f>IF(Param!$B$9=1,DbExcel!C683,DbWservice!C683)</f>
        <v>0</v>
      </c>
      <c r="D683" s="1">
        <f>IF(Param!$B$9=1,DbExcel!D683,DbWservice!D683)</f>
        <v>0</v>
      </c>
    </row>
    <row r="684" spans="1:4" x14ac:dyDescent="0.25">
      <c r="A684" s="1">
        <f>IF(Param!$B$9=1,DbExcel!A684,DbWservice!A684)</f>
        <v>0</v>
      </c>
      <c r="B684" s="1">
        <f>IF(Param!$B$9=1,DbExcel!B684,DbWservice!B684)</f>
        <v>0</v>
      </c>
      <c r="C684" s="1">
        <f>IF(Param!$B$9=1,DbExcel!C684,DbWservice!C684)</f>
        <v>0</v>
      </c>
      <c r="D684" s="1">
        <f>IF(Param!$B$9=1,DbExcel!D684,DbWservice!D684)</f>
        <v>0</v>
      </c>
    </row>
    <row r="685" spans="1:4" x14ac:dyDescent="0.25">
      <c r="A685" s="1">
        <f>IF(Param!$B$9=1,DbExcel!A685,DbWservice!A685)</f>
        <v>0</v>
      </c>
      <c r="B685" s="1">
        <f>IF(Param!$B$9=1,DbExcel!B685,DbWservice!B685)</f>
        <v>0</v>
      </c>
      <c r="C685" s="1">
        <f>IF(Param!$B$9=1,DbExcel!C685,DbWservice!C685)</f>
        <v>0</v>
      </c>
      <c r="D685" s="1">
        <f>IF(Param!$B$9=1,DbExcel!D685,DbWservice!D685)</f>
        <v>0</v>
      </c>
    </row>
    <row r="686" spans="1:4" x14ac:dyDescent="0.25">
      <c r="A686" s="1">
        <f>IF(Param!$B$9=1,DbExcel!A686,DbWservice!A686)</f>
        <v>0</v>
      </c>
      <c r="B686" s="1">
        <f>IF(Param!$B$9=1,DbExcel!B686,DbWservice!B686)</f>
        <v>0</v>
      </c>
      <c r="C686" s="1">
        <f>IF(Param!$B$9=1,DbExcel!C686,DbWservice!C686)</f>
        <v>0</v>
      </c>
      <c r="D686" s="1">
        <f>IF(Param!$B$9=1,DbExcel!D686,DbWservice!D686)</f>
        <v>0</v>
      </c>
    </row>
    <row r="687" spans="1:4" x14ac:dyDescent="0.25">
      <c r="A687" s="1">
        <f>IF(Param!$B$9=1,DbExcel!A687,DbWservice!A687)</f>
        <v>0</v>
      </c>
      <c r="B687" s="1">
        <f>IF(Param!$B$9=1,DbExcel!B687,DbWservice!B687)</f>
        <v>0</v>
      </c>
      <c r="C687" s="1">
        <f>IF(Param!$B$9=1,DbExcel!C687,DbWservice!C687)</f>
        <v>0</v>
      </c>
      <c r="D687" s="1">
        <f>IF(Param!$B$9=1,DbExcel!D687,DbWservice!D687)</f>
        <v>0</v>
      </c>
    </row>
    <row r="688" spans="1:4" x14ac:dyDescent="0.25">
      <c r="A688" s="1">
        <f>IF(Param!$B$9=1,DbExcel!A688,DbWservice!A688)</f>
        <v>0</v>
      </c>
      <c r="B688" s="1">
        <f>IF(Param!$B$9=1,DbExcel!B688,DbWservice!B688)</f>
        <v>0</v>
      </c>
      <c r="C688" s="1">
        <f>IF(Param!$B$9=1,DbExcel!C688,DbWservice!C688)</f>
        <v>0</v>
      </c>
      <c r="D688" s="1">
        <f>IF(Param!$B$9=1,DbExcel!D688,DbWservice!D688)</f>
        <v>0</v>
      </c>
    </row>
    <row r="689" spans="1:4" x14ac:dyDescent="0.25">
      <c r="A689" s="1">
        <f>IF(Param!$B$9=1,DbExcel!A689,DbWservice!A689)</f>
        <v>0</v>
      </c>
      <c r="B689" s="1">
        <f>IF(Param!$B$9=1,DbExcel!B689,DbWservice!B689)</f>
        <v>0</v>
      </c>
      <c r="C689" s="1">
        <f>IF(Param!$B$9=1,DbExcel!C689,DbWservice!C689)</f>
        <v>0</v>
      </c>
      <c r="D689" s="1">
        <f>IF(Param!$B$9=1,DbExcel!D689,DbWservice!D689)</f>
        <v>0</v>
      </c>
    </row>
    <row r="690" spans="1:4" x14ac:dyDescent="0.25">
      <c r="A690" s="1">
        <f>IF(Param!$B$9=1,DbExcel!A690,DbWservice!A690)</f>
        <v>0</v>
      </c>
      <c r="B690" s="1">
        <f>IF(Param!$B$9=1,DbExcel!B690,DbWservice!B690)</f>
        <v>0</v>
      </c>
      <c r="C690" s="1">
        <f>IF(Param!$B$9=1,DbExcel!C690,DbWservice!C690)</f>
        <v>0</v>
      </c>
      <c r="D690" s="1">
        <f>IF(Param!$B$9=1,DbExcel!D690,DbWservice!D690)</f>
        <v>0</v>
      </c>
    </row>
    <row r="691" spans="1:4" x14ac:dyDescent="0.25">
      <c r="A691" s="1">
        <f>IF(Param!$B$9=1,DbExcel!A691,DbWservice!A691)</f>
        <v>0</v>
      </c>
      <c r="B691" s="1">
        <f>IF(Param!$B$9=1,DbExcel!B691,DbWservice!B691)</f>
        <v>0</v>
      </c>
      <c r="C691" s="1">
        <f>IF(Param!$B$9=1,DbExcel!C691,DbWservice!C691)</f>
        <v>0</v>
      </c>
      <c r="D691" s="1">
        <f>IF(Param!$B$9=1,DbExcel!D691,DbWservice!D691)</f>
        <v>0</v>
      </c>
    </row>
    <row r="692" spans="1:4" x14ac:dyDescent="0.25">
      <c r="A692" s="1">
        <f>IF(Param!$B$9=1,DbExcel!A692,DbWservice!A692)</f>
        <v>0</v>
      </c>
      <c r="B692" s="1">
        <f>IF(Param!$B$9=1,DbExcel!B692,DbWservice!B692)</f>
        <v>0</v>
      </c>
      <c r="C692" s="1">
        <f>IF(Param!$B$9=1,DbExcel!C692,DbWservice!C692)</f>
        <v>0</v>
      </c>
      <c r="D692" s="1">
        <f>IF(Param!$B$9=1,DbExcel!D692,DbWservice!D692)</f>
        <v>0</v>
      </c>
    </row>
    <row r="693" spans="1:4" x14ac:dyDescent="0.25">
      <c r="A693" s="1">
        <f>IF(Param!$B$9=1,DbExcel!A693,DbWservice!A693)</f>
        <v>0</v>
      </c>
      <c r="B693" s="1">
        <f>IF(Param!$B$9=1,DbExcel!B693,DbWservice!B693)</f>
        <v>0</v>
      </c>
      <c r="C693" s="1">
        <f>IF(Param!$B$9=1,DbExcel!C693,DbWservice!C693)</f>
        <v>0</v>
      </c>
      <c r="D693" s="1">
        <f>IF(Param!$B$9=1,DbExcel!D693,DbWservice!D693)</f>
        <v>0</v>
      </c>
    </row>
    <row r="694" spans="1:4" x14ac:dyDescent="0.25">
      <c r="A694" s="1">
        <f>IF(Param!$B$9=1,DbExcel!A694,DbWservice!A694)</f>
        <v>0</v>
      </c>
      <c r="B694" s="1">
        <f>IF(Param!$B$9=1,DbExcel!B694,DbWservice!B694)</f>
        <v>0</v>
      </c>
      <c r="C694" s="1">
        <f>IF(Param!$B$9=1,DbExcel!C694,DbWservice!C694)</f>
        <v>0</v>
      </c>
      <c r="D694" s="1">
        <f>IF(Param!$B$9=1,DbExcel!D694,DbWservice!D694)</f>
        <v>0</v>
      </c>
    </row>
    <row r="695" spans="1:4" x14ac:dyDescent="0.25">
      <c r="A695" s="1">
        <f>IF(Param!$B$9=1,DbExcel!A695,DbWservice!A695)</f>
        <v>0</v>
      </c>
      <c r="B695" s="1">
        <f>IF(Param!$B$9=1,DbExcel!B695,DbWservice!B695)</f>
        <v>0</v>
      </c>
      <c r="C695" s="1">
        <f>IF(Param!$B$9=1,DbExcel!C695,DbWservice!C695)</f>
        <v>0</v>
      </c>
      <c r="D695" s="1">
        <f>IF(Param!$B$9=1,DbExcel!D695,DbWservice!D695)</f>
        <v>0</v>
      </c>
    </row>
    <row r="696" spans="1:4" x14ac:dyDescent="0.25">
      <c r="A696" s="1">
        <f>IF(Param!$B$9=1,DbExcel!A696,DbWservice!A696)</f>
        <v>0</v>
      </c>
      <c r="B696" s="1">
        <f>IF(Param!$B$9=1,DbExcel!B696,DbWservice!B696)</f>
        <v>0</v>
      </c>
      <c r="C696" s="1">
        <f>IF(Param!$B$9=1,DbExcel!C696,DbWservice!C696)</f>
        <v>0</v>
      </c>
      <c r="D696" s="1">
        <f>IF(Param!$B$9=1,DbExcel!D696,DbWservice!D696)</f>
        <v>0</v>
      </c>
    </row>
    <row r="697" spans="1:4" x14ac:dyDescent="0.25">
      <c r="A697" s="1">
        <f>IF(Param!$B$9=1,DbExcel!A697,DbWservice!A697)</f>
        <v>0</v>
      </c>
      <c r="B697" s="1">
        <f>IF(Param!$B$9=1,DbExcel!B697,DbWservice!B697)</f>
        <v>0</v>
      </c>
      <c r="C697" s="1">
        <f>IF(Param!$B$9=1,DbExcel!C697,DbWservice!C697)</f>
        <v>0</v>
      </c>
      <c r="D697" s="1">
        <f>IF(Param!$B$9=1,DbExcel!D697,DbWservice!D697)</f>
        <v>0</v>
      </c>
    </row>
    <row r="698" spans="1:4" x14ac:dyDescent="0.25">
      <c r="A698" s="1">
        <f>IF(Param!$B$9=1,DbExcel!A698,DbWservice!A698)</f>
        <v>0</v>
      </c>
      <c r="B698" s="1">
        <f>IF(Param!$B$9=1,DbExcel!B698,DbWservice!B698)</f>
        <v>0</v>
      </c>
      <c r="C698" s="1">
        <f>IF(Param!$B$9=1,DbExcel!C698,DbWservice!C698)</f>
        <v>0</v>
      </c>
      <c r="D698" s="1">
        <f>IF(Param!$B$9=1,DbExcel!D698,DbWservice!D698)</f>
        <v>0</v>
      </c>
    </row>
    <row r="699" spans="1:4" x14ac:dyDescent="0.25">
      <c r="A699" s="1">
        <f>IF(Param!$B$9=1,DbExcel!A699,DbWservice!A699)</f>
        <v>0</v>
      </c>
      <c r="B699" s="1">
        <f>IF(Param!$B$9=1,DbExcel!B699,DbWservice!B699)</f>
        <v>0</v>
      </c>
      <c r="C699" s="1">
        <f>IF(Param!$B$9=1,DbExcel!C699,DbWservice!C699)</f>
        <v>0</v>
      </c>
      <c r="D699" s="1">
        <f>IF(Param!$B$9=1,DbExcel!D699,DbWservice!D699)</f>
        <v>0</v>
      </c>
    </row>
    <row r="700" spans="1:4" x14ac:dyDescent="0.25">
      <c r="A700" s="1">
        <f>IF(Param!$B$9=1,DbExcel!A700,DbWservice!A700)</f>
        <v>0</v>
      </c>
      <c r="B700" s="1">
        <f>IF(Param!$B$9=1,DbExcel!B700,DbWservice!B700)</f>
        <v>0</v>
      </c>
      <c r="C700" s="1">
        <f>IF(Param!$B$9=1,DbExcel!C700,DbWservice!C700)</f>
        <v>0</v>
      </c>
      <c r="D700" s="1">
        <f>IF(Param!$B$9=1,DbExcel!D700,DbWservice!D700)</f>
        <v>0</v>
      </c>
    </row>
    <row r="701" spans="1:4" x14ac:dyDescent="0.25">
      <c r="A701" s="1">
        <f>IF(Param!$B$9=1,DbExcel!A701,DbWservice!A701)</f>
        <v>0</v>
      </c>
      <c r="B701" s="1">
        <f>IF(Param!$B$9=1,DbExcel!B701,DbWservice!B701)</f>
        <v>0</v>
      </c>
      <c r="C701" s="1">
        <f>IF(Param!$B$9=1,DbExcel!C701,DbWservice!C701)</f>
        <v>0</v>
      </c>
      <c r="D701" s="1">
        <f>IF(Param!$B$9=1,DbExcel!D701,DbWservice!D701)</f>
        <v>0</v>
      </c>
    </row>
    <row r="702" spans="1:4" x14ac:dyDescent="0.25">
      <c r="A702" s="1">
        <f>IF(Param!$B$9=1,DbExcel!A702,DbWservice!A702)</f>
        <v>0</v>
      </c>
      <c r="B702" s="1">
        <f>IF(Param!$B$9=1,DbExcel!B702,DbWservice!B702)</f>
        <v>0</v>
      </c>
      <c r="C702" s="1">
        <f>IF(Param!$B$9=1,DbExcel!C702,DbWservice!C702)</f>
        <v>0</v>
      </c>
      <c r="D702" s="1">
        <f>IF(Param!$B$9=1,DbExcel!D702,DbWservice!D702)</f>
        <v>0</v>
      </c>
    </row>
    <row r="703" spans="1:4" x14ac:dyDescent="0.25">
      <c r="A703" s="1">
        <f>IF(Param!$B$9=1,DbExcel!A703,DbWservice!A703)</f>
        <v>0</v>
      </c>
      <c r="B703" s="1">
        <f>IF(Param!$B$9=1,DbExcel!B703,DbWservice!B703)</f>
        <v>0</v>
      </c>
      <c r="C703" s="1">
        <f>IF(Param!$B$9=1,DbExcel!C703,DbWservice!C703)</f>
        <v>0</v>
      </c>
      <c r="D703" s="1">
        <f>IF(Param!$B$9=1,DbExcel!D703,DbWservice!D703)</f>
        <v>0</v>
      </c>
    </row>
    <row r="704" spans="1:4" x14ac:dyDescent="0.25">
      <c r="A704" s="1">
        <f>IF(Param!$B$9=1,DbExcel!A704,DbWservice!A704)</f>
        <v>0</v>
      </c>
      <c r="B704" s="1">
        <f>IF(Param!$B$9=1,DbExcel!B704,DbWservice!B704)</f>
        <v>0</v>
      </c>
      <c r="C704" s="1">
        <f>IF(Param!$B$9=1,DbExcel!C704,DbWservice!C704)</f>
        <v>0</v>
      </c>
      <c r="D704" s="1">
        <f>IF(Param!$B$9=1,DbExcel!D704,DbWservice!D704)</f>
        <v>0</v>
      </c>
    </row>
    <row r="705" spans="1:4" x14ac:dyDescent="0.25">
      <c r="A705" s="1">
        <f>IF(Param!$B$9=1,DbExcel!A705,DbWservice!A705)</f>
        <v>0</v>
      </c>
      <c r="B705" s="1">
        <f>IF(Param!$B$9=1,DbExcel!B705,DbWservice!B705)</f>
        <v>0</v>
      </c>
      <c r="C705" s="1">
        <f>IF(Param!$B$9=1,DbExcel!C705,DbWservice!C705)</f>
        <v>0</v>
      </c>
      <c r="D705" s="1">
        <f>IF(Param!$B$9=1,DbExcel!D705,DbWservice!D705)</f>
        <v>0</v>
      </c>
    </row>
    <row r="706" spans="1:4" x14ac:dyDescent="0.25">
      <c r="A706" s="1">
        <f>IF(Param!$B$9=1,DbExcel!A706,DbWservice!A706)</f>
        <v>0</v>
      </c>
      <c r="B706" s="1">
        <f>IF(Param!$B$9=1,DbExcel!B706,DbWservice!B706)</f>
        <v>0</v>
      </c>
      <c r="C706" s="1">
        <f>IF(Param!$B$9=1,DbExcel!C706,DbWservice!C706)</f>
        <v>0</v>
      </c>
      <c r="D706" s="1">
        <f>IF(Param!$B$9=1,DbExcel!D706,DbWservice!D706)</f>
        <v>0</v>
      </c>
    </row>
    <row r="707" spans="1:4" x14ac:dyDescent="0.25">
      <c r="A707" s="1">
        <f>IF(Param!$B$9=1,DbExcel!A707,DbWservice!A707)</f>
        <v>0</v>
      </c>
      <c r="B707" s="1">
        <f>IF(Param!$B$9=1,DbExcel!B707,DbWservice!B707)</f>
        <v>0</v>
      </c>
      <c r="C707" s="1">
        <f>IF(Param!$B$9=1,DbExcel!C707,DbWservice!C707)</f>
        <v>0</v>
      </c>
      <c r="D707" s="1">
        <f>IF(Param!$B$9=1,DbExcel!D707,DbWservice!D707)</f>
        <v>0</v>
      </c>
    </row>
    <row r="708" spans="1:4" x14ac:dyDescent="0.25">
      <c r="A708" s="1">
        <f>IF(Param!$B$9=1,DbExcel!A708,DbWservice!A708)</f>
        <v>0</v>
      </c>
      <c r="B708" s="1">
        <f>IF(Param!$B$9=1,DbExcel!B708,DbWservice!B708)</f>
        <v>0</v>
      </c>
      <c r="C708" s="1">
        <f>IF(Param!$B$9=1,DbExcel!C708,DbWservice!C708)</f>
        <v>0</v>
      </c>
      <c r="D708" s="1">
        <f>IF(Param!$B$9=1,DbExcel!D708,DbWservice!D708)</f>
        <v>0</v>
      </c>
    </row>
    <row r="709" spans="1:4" x14ac:dyDescent="0.25">
      <c r="A709" s="1">
        <f>IF(Param!$B$9=1,DbExcel!A709,DbWservice!A709)</f>
        <v>0</v>
      </c>
      <c r="B709" s="1">
        <f>IF(Param!$B$9=1,DbExcel!B709,DbWservice!B709)</f>
        <v>0</v>
      </c>
      <c r="C709" s="1">
        <f>IF(Param!$B$9=1,DbExcel!C709,DbWservice!C709)</f>
        <v>0</v>
      </c>
      <c r="D709" s="1">
        <f>IF(Param!$B$9=1,DbExcel!D709,DbWservice!D709)</f>
        <v>0</v>
      </c>
    </row>
    <row r="710" spans="1:4" x14ac:dyDescent="0.25">
      <c r="A710" s="1">
        <f>IF(Param!$B$9=1,DbExcel!A710,DbWservice!A710)</f>
        <v>0</v>
      </c>
      <c r="B710" s="1">
        <f>IF(Param!$B$9=1,DbExcel!B710,DbWservice!B710)</f>
        <v>0</v>
      </c>
      <c r="C710" s="1">
        <f>IF(Param!$B$9=1,DbExcel!C710,DbWservice!C710)</f>
        <v>0</v>
      </c>
      <c r="D710" s="1">
        <f>IF(Param!$B$9=1,DbExcel!D710,DbWservice!D710)</f>
        <v>0</v>
      </c>
    </row>
    <row r="711" spans="1:4" x14ac:dyDescent="0.25">
      <c r="A711" s="1">
        <f>IF(Param!$B$9=1,DbExcel!A711,DbWservice!A711)</f>
        <v>0</v>
      </c>
      <c r="B711" s="1">
        <f>IF(Param!$B$9=1,DbExcel!B711,DbWservice!B711)</f>
        <v>0</v>
      </c>
      <c r="C711" s="1">
        <f>IF(Param!$B$9=1,DbExcel!C711,DbWservice!C711)</f>
        <v>0</v>
      </c>
      <c r="D711" s="1">
        <f>IF(Param!$B$9=1,DbExcel!D711,DbWservice!D711)</f>
        <v>0</v>
      </c>
    </row>
    <row r="712" spans="1:4" x14ac:dyDescent="0.25">
      <c r="A712" s="1">
        <f>IF(Param!$B$9=1,DbExcel!A712,DbWservice!A712)</f>
        <v>0</v>
      </c>
      <c r="B712" s="1">
        <f>IF(Param!$B$9=1,DbExcel!B712,DbWservice!B712)</f>
        <v>0</v>
      </c>
      <c r="C712" s="1">
        <f>IF(Param!$B$9=1,DbExcel!C712,DbWservice!C712)</f>
        <v>0</v>
      </c>
      <c r="D712" s="1">
        <f>IF(Param!$B$9=1,DbExcel!D712,DbWservice!D712)</f>
        <v>0</v>
      </c>
    </row>
    <row r="713" spans="1:4" x14ac:dyDescent="0.25">
      <c r="A713" s="1">
        <f>IF(Param!$B$9=1,DbExcel!A713,DbWservice!A713)</f>
        <v>0</v>
      </c>
      <c r="B713" s="1">
        <f>IF(Param!$B$9=1,DbExcel!B713,DbWservice!B713)</f>
        <v>0</v>
      </c>
      <c r="C713" s="1">
        <f>IF(Param!$B$9=1,DbExcel!C713,DbWservice!C713)</f>
        <v>0</v>
      </c>
      <c r="D713" s="1">
        <f>IF(Param!$B$9=1,DbExcel!D713,DbWservice!D713)</f>
        <v>0</v>
      </c>
    </row>
    <row r="714" spans="1:4" x14ac:dyDescent="0.25">
      <c r="A714" s="1">
        <f>IF(Param!$B$9=1,DbExcel!A714,DbWservice!A714)</f>
        <v>0</v>
      </c>
      <c r="B714" s="1">
        <f>IF(Param!$B$9=1,DbExcel!B714,DbWservice!B714)</f>
        <v>0</v>
      </c>
      <c r="C714" s="1">
        <f>IF(Param!$B$9=1,DbExcel!C714,DbWservice!C714)</f>
        <v>0</v>
      </c>
      <c r="D714" s="1">
        <f>IF(Param!$B$9=1,DbExcel!D714,DbWservice!D714)</f>
        <v>0</v>
      </c>
    </row>
    <row r="715" spans="1:4" x14ac:dyDescent="0.25">
      <c r="A715" s="1">
        <f>IF(Param!$B$9=1,DbExcel!A715,DbWservice!A715)</f>
        <v>0</v>
      </c>
      <c r="B715" s="1">
        <f>IF(Param!$B$9=1,DbExcel!B715,DbWservice!B715)</f>
        <v>0</v>
      </c>
      <c r="C715" s="1">
        <f>IF(Param!$B$9=1,DbExcel!C715,DbWservice!C715)</f>
        <v>0</v>
      </c>
      <c r="D715" s="1">
        <f>IF(Param!$B$9=1,DbExcel!D715,DbWservice!D715)</f>
        <v>0</v>
      </c>
    </row>
    <row r="716" spans="1:4" x14ac:dyDescent="0.25">
      <c r="A716" s="1">
        <f>IF(Param!$B$9=1,DbExcel!A716,DbWservice!A716)</f>
        <v>0</v>
      </c>
      <c r="B716" s="1">
        <f>IF(Param!$B$9=1,DbExcel!B716,DbWservice!B716)</f>
        <v>0</v>
      </c>
      <c r="C716" s="1">
        <f>IF(Param!$B$9=1,DbExcel!C716,DbWservice!C716)</f>
        <v>0</v>
      </c>
      <c r="D716" s="1">
        <f>IF(Param!$B$9=1,DbExcel!D716,DbWservice!D716)</f>
        <v>0</v>
      </c>
    </row>
    <row r="717" spans="1:4" x14ac:dyDescent="0.25">
      <c r="A717" s="1">
        <f>IF(Param!$B$9=1,DbExcel!A717,DbWservice!A717)</f>
        <v>0</v>
      </c>
      <c r="B717" s="1">
        <f>IF(Param!$B$9=1,DbExcel!B717,DbWservice!B717)</f>
        <v>0</v>
      </c>
      <c r="C717" s="1">
        <f>IF(Param!$B$9=1,DbExcel!C717,DbWservice!C717)</f>
        <v>0</v>
      </c>
      <c r="D717" s="1">
        <f>IF(Param!$B$9=1,DbExcel!D717,DbWservice!D717)</f>
        <v>0</v>
      </c>
    </row>
    <row r="718" spans="1:4" x14ac:dyDescent="0.25">
      <c r="A718" s="1">
        <f>IF(Param!$B$9=1,DbExcel!A718,DbWservice!A718)</f>
        <v>0</v>
      </c>
      <c r="B718" s="1">
        <f>IF(Param!$B$9=1,DbExcel!B718,DbWservice!B718)</f>
        <v>0</v>
      </c>
      <c r="C718" s="1">
        <f>IF(Param!$B$9=1,DbExcel!C718,DbWservice!C718)</f>
        <v>0</v>
      </c>
      <c r="D718" s="1">
        <f>IF(Param!$B$9=1,DbExcel!D718,DbWservice!D718)</f>
        <v>0</v>
      </c>
    </row>
    <row r="719" spans="1:4" x14ac:dyDescent="0.25">
      <c r="A719" s="1">
        <f>IF(Param!$B$9=1,DbExcel!A719,DbWservice!A719)</f>
        <v>0</v>
      </c>
      <c r="B719" s="1">
        <f>IF(Param!$B$9=1,DbExcel!B719,DbWservice!B719)</f>
        <v>0</v>
      </c>
      <c r="C719" s="1">
        <f>IF(Param!$B$9=1,DbExcel!C719,DbWservice!C719)</f>
        <v>0</v>
      </c>
      <c r="D719" s="1">
        <f>IF(Param!$B$9=1,DbExcel!D719,DbWservice!D719)</f>
        <v>0</v>
      </c>
    </row>
    <row r="720" spans="1:4" x14ac:dyDescent="0.25">
      <c r="A720" s="1">
        <f>IF(Param!$B$9=1,DbExcel!A720,DbWservice!A720)</f>
        <v>0</v>
      </c>
      <c r="B720" s="1">
        <f>IF(Param!$B$9=1,DbExcel!B720,DbWservice!B720)</f>
        <v>0</v>
      </c>
      <c r="C720" s="1">
        <f>IF(Param!$B$9=1,DbExcel!C720,DbWservice!C720)</f>
        <v>0</v>
      </c>
      <c r="D720" s="1">
        <f>IF(Param!$B$9=1,DbExcel!D720,DbWservice!D720)</f>
        <v>0</v>
      </c>
    </row>
    <row r="721" spans="1:4" x14ac:dyDescent="0.25">
      <c r="A721" s="1">
        <f>IF(Param!$B$9=1,DbExcel!A721,DbWservice!A721)</f>
        <v>0</v>
      </c>
      <c r="B721" s="1">
        <f>IF(Param!$B$9=1,DbExcel!B721,DbWservice!B721)</f>
        <v>0</v>
      </c>
      <c r="C721" s="1">
        <f>IF(Param!$B$9=1,DbExcel!C721,DbWservice!C721)</f>
        <v>0</v>
      </c>
      <c r="D721" s="1">
        <f>IF(Param!$B$9=1,DbExcel!D721,DbWservice!D721)</f>
        <v>0</v>
      </c>
    </row>
    <row r="722" spans="1:4" x14ac:dyDescent="0.25">
      <c r="A722" s="1">
        <f>IF(Param!$B$9=1,DbExcel!A722,DbWservice!A722)</f>
        <v>0</v>
      </c>
      <c r="B722" s="1">
        <f>IF(Param!$B$9=1,DbExcel!B722,DbWservice!B722)</f>
        <v>0</v>
      </c>
      <c r="C722" s="1">
        <f>IF(Param!$B$9=1,DbExcel!C722,DbWservice!C722)</f>
        <v>0</v>
      </c>
      <c r="D722" s="1">
        <f>IF(Param!$B$9=1,DbExcel!D722,DbWservice!D722)</f>
        <v>0</v>
      </c>
    </row>
    <row r="723" spans="1:4" x14ac:dyDescent="0.25">
      <c r="A723" s="1">
        <f>IF(Param!$B$9=1,DbExcel!A723,DbWservice!A723)</f>
        <v>0</v>
      </c>
      <c r="B723" s="1">
        <f>IF(Param!$B$9=1,DbExcel!B723,DbWservice!B723)</f>
        <v>0</v>
      </c>
      <c r="C723" s="1">
        <f>IF(Param!$B$9=1,DbExcel!C723,DbWservice!C723)</f>
        <v>0</v>
      </c>
      <c r="D723" s="1">
        <f>IF(Param!$B$9=1,DbExcel!D723,DbWservice!D723)</f>
        <v>0</v>
      </c>
    </row>
    <row r="724" spans="1:4" x14ac:dyDescent="0.25">
      <c r="A724" s="1">
        <f>IF(Param!$B$9=1,DbExcel!A724,DbWservice!A724)</f>
        <v>0</v>
      </c>
      <c r="B724" s="1">
        <f>IF(Param!$B$9=1,DbExcel!B724,DbWservice!B724)</f>
        <v>0</v>
      </c>
      <c r="C724" s="1">
        <f>IF(Param!$B$9=1,DbExcel!C724,DbWservice!C724)</f>
        <v>0</v>
      </c>
      <c r="D724" s="1">
        <f>IF(Param!$B$9=1,DbExcel!D724,DbWservice!D724)</f>
        <v>0</v>
      </c>
    </row>
    <row r="725" spans="1:4" x14ac:dyDescent="0.25">
      <c r="A725" s="1">
        <f>IF(Param!$B$9=1,DbExcel!A725,DbWservice!A725)</f>
        <v>0</v>
      </c>
      <c r="B725" s="1">
        <f>IF(Param!$B$9=1,DbExcel!B725,DbWservice!B725)</f>
        <v>0</v>
      </c>
      <c r="C725" s="1">
        <f>IF(Param!$B$9=1,DbExcel!C725,DbWservice!C725)</f>
        <v>0</v>
      </c>
      <c r="D725" s="1">
        <f>IF(Param!$B$9=1,DbExcel!D725,DbWservice!D725)</f>
        <v>0</v>
      </c>
    </row>
    <row r="726" spans="1:4" x14ac:dyDescent="0.25">
      <c r="A726" s="1">
        <f>IF(Param!$B$9=1,DbExcel!A726,DbWservice!A726)</f>
        <v>0</v>
      </c>
      <c r="B726" s="1">
        <f>IF(Param!$B$9=1,DbExcel!B726,DbWservice!B726)</f>
        <v>0</v>
      </c>
      <c r="C726" s="1">
        <f>IF(Param!$B$9=1,DbExcel!C726,DbWservice!C726)</f>
        <v>0</v>
      </c>
      <c r="D726" s="1">
        <f>IF(Param!$B$9=1,DbExcel!D726,DbWservice!D726)</f>
        <v>0</v>
      </c>
    </row>
    <row r="727" spans="1:4" x14ac:dyDescent="0.25">
      <c r="A727" s="1">
        <f>IF(Param!$B$9=1,DbExcel!A727,DbWservice!A727)</f>
        <v>0</v>
      </c>
      <c r="B727" s="1">
        <f>IF(Param!$B$9=1,DbExcel!B727,DbWservice!B727)</f>
        <v>0</v>
      </c>
      <c r="C727" s="1">
        <f>IF(Param!$B$9=1,DbExcel!C727,DbWservice!C727)</f>
        <v>0</v>
      </c>
      <c r="D727" s="1">
        <f>IF(Param!$B$9=1,DbExcel!D727,DbWservice!D727)</f>
        <v>0</v>
      </c>
    </row>
    <row r="728" spans="1:4" x14ac:dyDescent="0.25">
      <c r="A728" s="1">
        <f>IF(Param!$B$9=1,DbExcel!A728,DbWservice!A728)</f>
        <v>0</v>
      </c>
      <c r="B728" s="1">
        <f>IF(Param!$B$9=1,DbExcel!B728,DbWservice!B728)</f>
        <v>0</v>
      </c>
      <c r="C728" s="1">
        <f>IF(Param!$B$9=1,DbExcel!C728,DbWservice!C728)</f>
        <v>0</v>
      </c>
      <c r="D728" s="1">
        <f>IF(Param!$B$9=1,DbExcel!D728,DbWservice!D728)</f>
        <v>0</v>
      </c>
    </row>
    <row r="729" spans="1:4" x14ac:dyDescent="0.25">
      <c r="A729" s="1">
        <f>IF(Param!$B$9=1,DbExcel!A729,DbWservice!A729)</f>
        <v>0</v>
      </c>
      <c r="B729" s="1">
        <f>IF(Param!$B$9=1,DbExcel!B729,DbWservice!B729)</f>
        <v>0</v>
      </c>
      <c r="C729" s="1">
        <f>IF(Param!$B$9=1,DbExcel!C729,DbWservice!C729)</f>
        <v>0</v>
      </c>
      <c r="D729" s="1">
        <f>IF(Param!$B$9=1,DbExcel!D729,DbWservice!D729)</f>
        <v>0</v>
      </c>
    </row>
    <row r="730" spans="1:4" x14ac:dyDescent="0.25">
      <c r="A730" s="1">
        <f>IF(Param!$B$9=1,DbExcel!A730,DbWservice!A730)</f>
        <v>0</v>
      </c>
      <c r="B730" s="1">
        <f>IF(Param!$B$9=1,DbExcel!B730,DbWservice!B730)</f>
        <v>0</v>
      </c>
      <c r="C730" s="1">
        <f>IF(Param!$B$9=1,DbExcel!C730,DbWservice!C730)</f>
        <v>0</v>
      </c>
      <c r="D730" s="1">
        <f>IF(Param!$B$9=1,DbExcel!D730,DbWservice!D730)</f>
        <v>0</v>
      </c>
    </row>
    <row r="731" spans="1:4" x14ac:dyDescent="0.25">
      <c r="A731" s="1">
        <f>IF(Param!$B$9=1,DbExcel!A731,DbWservice!A731)</f>
        <v>0</v>
      </c>
      <c r="B731" s="1">
        <f>IF(Param!$B$9=1,DbExcel!B731,DbWservice!B731)</f>
        <v>0</v>
      </c>
      <c r="C731" s="1">
        <f>IF(Param!$B$9=1,DbExcel!C731,DbWservice!C731)</f>
        <v>0</v>
      </c>
      <c r="D731" s="1">
        <f>IF(Param!$B$9=1,DbExcel!D731,DbWservice!D731)</f>
        <v>0</v>
      </c>
    </row>
    <row r="732" spans="1:4" x14ac:dyDescent="0.25">
      <c r="A732" s="1">
        <f>IF(Param!$B$9=1,DbExcel!A732,DbWservice!A732)</f>
        <v>0</v>
      </c>
      <c r="B732" s="1">
        <f>IF(Param!$B$9=1,DbExcel!B732,DbWservice!B732)</f>
        <v>0</v>
      </c>
      <c r="C732" s="1">
        <f>IF(Param!$B$9=1,DbExcel!C732,DbWservice!C732)</f>
        <v>0</v>
      </c>
      <c r="D732" s="1">
        <f>IF(Param!$B$9=1,DbExcel!D732,DbWservice!D732)</f>
        <v>0</v>
      </c>
    </row>
    <row r="733" spans="1:4" x14ac:dyDescent="0.25">
      <c r="A733" s="1">
        <f>IF(Param!$B$9=1,DbExcel!A733,DbWservice!A733)</f>
        <v>0</v>
      </c>
      <c r="B733" s="1">
        <f>IF(Param!$B$9=1,DbExcel!B733,DbWservice!B733)</f>
        <v>0</v>
      </c>
      <c r="C733" s="1">
        <f>IF(Param!$B$9=1,DbExcel!C733,DbWservice!C733)</f>
        <v>0</v>
      </c>
      <c r="D733" s="1">
        <f>IF(Param!$B$9=1,DbExcel!D733,DbWservice!D733)</f>
        <v>0</v>
      </c>
    </row>
    <row r="734" spans="1:4" x14ac:dyDescent="0.25">
      <c r="A734" s="1">
        <f>IF(Param!$B$9=1,DbExcel!A734,DbWservice!A734)</f>
        <v>0</v>
      </c>
      <c r="B734" s="1">
        <f>IF(Param!$B$9=1,DbExcel!B734,DbWservice!B734)</f>
        <v>0</v>
      </c>
      <c r="C734" s="1">
        <f>IF(Param!$B$9=1,DbExcel!C734,DbWservice!C734)</f>
        <v>0</v>
      </c>
      <c r="D734" s="1">
        <f>IF(Param!$B$9=1,DbExcel!D734,DbWservice!D734)</f>
        <v>0</v>
      </c>
    </row>
    <row r="735" spans="1:4" x14ac:dyDescent="0.25">
      <c r="A735" s="1">
        <f>IF(Param!$B$9=1,DbExcel!A735,DbWservice!A735)</f>
        <v>0</v>
      </c>
      <c r="B735" s="1">
        <f>IF(Param!$B$9=1,DbExcel!B735,DbWservice!B735)</f>
        <v>0</v>
      </c>
      <c r="C735" s="1">
        <f>IF(Param!$B$9=1,DbExcel!C735,DbWservice!C735)</f>
        <v>0</v>
      </c>
      <c r="D735" s="1">
        <f>IF(Param!$B$9=1,DbExcel!D735,DbWservice!D735)</f>
        <v>0</v>
      </c>
    </row>
    <row r="736" spans="1:4" x14ac:dyDescent="0.25">
      <c r="A736" s="1">
        <f>IF(Param!$B$9=1,DbExcel!A736,DbWservice!A736)</f>
        <v>0</v>
      </c>
      <c r="B736" s="1">
        <f>IF(Param!$B$9=1,DbExcel!B736,DbWservice!B736)</f>
        <v>0</v>
      </c>
      <c r="C736" s="1">
        <f>IF(Param!$B$9=1,DbExcel!C736,DbWservice!C736)</f>
        <v>0</v>
      </c>
      <c r="D736" s="1">
        <f>IF(Param!$B$9=1,DbExcel!D736,DbWservice!D736)</f>
        <v>0</v>
      </c>
    </row>
    <row r="737" spans="1:4" x14ac:dyDescent="0.25">
      <c r="A737" s="1">
        <f>IF(Param!$B$9=1,DbExcel!A737,DbWservice!A737)</f>
        <v>0</v>
      </c>
      <c r="B737" s="1">
        <f>IF(Param!$B$9=1,DbExcel!B737,DbWservice!B737)</f>
        <v>0</v>
      </c>
      <c r="C737" s="1">
        <f>IF(Param!$B$9=1,DbExcel!C737,DbWservice!C737)</f>
        <v>0</v>
      </c>
      <c r="D737" s="1">
        <f>IF(Param!$B$9=1,DbExcel!D737,DbWservice!D737)</f>
        <v>0</v>
      </c>
    </row>
    <row r="738" spans="1:4" x14ac:dyDescent="0.25">
      <c r="A738" s="1">
        <f>IF(Param!$B$9=1,DbExcel!A738,DbWservice!A738)</f>
        <v>0</v>
      </c>
      <c r="B738" s="1">
        <f>IF(Param!$B$9=1,DbExcel!B738,DbWservice!B738)</f>
        <v>0</v>
      </c>
      <c r="C738" s="1">
        <f>IF(Param!$B$9=1,DbExcel!C738,DbWservice!C738)</f>
        <v>0</v>
      </c>
      <c r="D738" s="1">
        <f>IF(Param!$B$9=1,DbExcel!D738,DbWservice!D738)</f>
        <v>0</v>
      </c>
    </row>
    <row r="739" spans="1:4" x14ac:dyDescent="0.25">
      <c r="A739" s="1">
        <f>IF(Param!$B$9=1,DbExcel!A739,DbWservice!A739)</f>
        <v>0</v>
      </c>
      <c r="B739" s="1">
        <f>IF(Param!$B$9=1,DbExcel!B739,DbWservice!B739)</f>
        <v>0</v>
      </c>
      <c r="C739" s="1">
        <f>IF(Param!$B$9=1,DbExcel!C739,DbWservice!C739)</f>
        <v>0</v>
      </c>
      <c r="D739" s="1">
        <f>IF(Param!$B$9=1,DbExcel!D739,DbWservice!D739)</f>
        <v>0</v>
      </c>
    </row>
    <row r="740" spans="1:4" x14ac:dyDescent="0.25">
      <c r="A740" s="1">
        <f>IF(Param!$B$9=1,DbExcel!A740,DbWservice!A740)</f>
        <v>0</v>
      </c>
      <c r="B740" s="1">
        <f>IF(Param!$B$9=1,DbExcel!B740,DbWservice!B740)</f>
        <v>0</v>
      </c>
      <c r="C740" s="1">
        <f>IF(Param!$B$9=1,DbExcel!C740,DbWservice!C740)</f>
        <v>0</v>
      </c>
      <c r="D740" s="1">
        <f>IF(Param!$B$9=1,DbExcel!D740,DbWservice!D740)</f>
        <v>0</v>
      </c>
    </row>
    <row r="741" spans="1:4" x14ac:dyDescent="0.25">
      <c r="A741" s="1">
        <f>IF(Param!$B$9=1,DbExcel!A741,DbWservice!A741)</f>
        <v>0</v>
      </c>
      <c r="B741" s="1">
        <f>IF(Param!$B$9=1,DbExcel!B741,DbWservice!B741)</f>
        <v>0</v>
      </c>
      <c r="C741" s="1">
        <f>IF(Param!$B$9=1,DbExcel!C741,DbWservice!C741)</f>
        <v>0</v>
      </c>
      <c r="D741" s="1">
        <f>IF(Param!$B$9=1,DbExcel!D741,DbWservice!D741)</f>
        <v>0</v>
      </c>
    </row>
    <row r="742" spans="1:4" x14ac:dyDescent="0.25">
      <c r="A742" s="1">
        <f>IF(Param!$B$9=1,DbExcel!A742,DbWservice!A742)</f>
        <v>0</v>
      </c>
      <c r="B742" s="1">
        <f>IF(Param!$B$9=1,DbExcel!B742,DbWservice!B742)</f>
        <v>0</v>
      </c>
      <c r="C742" s="1">
        <f>IF(Param!$B$9=1,DbExcel!C742,DbWservice!C742)</f>
        <v>0</v>
      </c>
      <c r="D742" s="1">
        <f>IF(Param!$B$9=1,DbExcel!D742,DbWservice!D742)</f>
        <v>0</v>
      </c>
    </row>
    <row r="743" spans="1:4" x14ac:dyDescent="0.25">
      <c r="A743" s="1">
        <f>IF(Param!$B$9=1,DbExcel!A743,DbWservice!A743)</f>
        <v>0</v>
      </c>
      <c r="B743" s="1">
        <f>IF(Param!$B$9=1,DbExcel!B743,DbWservice!B743)</f>
        <v>0</v>
      </c>
      <c r="C743" s="1">
        <f>IF(Param!$B$9=1,DbExcel!C743,DbWservice!C743)</f>
        <v>0</v>
      </c>
      <c r="D743" s="1">
        <f>IF(Param!$B$9=1,DbExcel!D743,DbWservice!D743)</f>
        <v>0</v>
      </c>
    </row>
    <row r="744" spans="1:4" x14ac:dyDescent="0.25">
      <c r="A744" s="1">
        <f>IF(Param!$B$9=1,DbExcel!A744,DbWservice!A744)</f>
        <v>0</v>
      </c>
      <c r="B744" s="1">
        <f>IF(Param!$B$9=1,DbExcel!B744,DbWservice!B744)</f>
        <v>0</v>
      </c>
      <c r="C744" s="1">
        <f>IF(Param!$B$9=1,DbExcel!C744,DbWservice!C744)</f>
        <v>0</v>
      </c>
      <c r="D744" s="1">
        <f>IF(Param!$B$9=1,DbExcel!D744,DbWservice!D744)</f>
        <v>0</v>
      </c>
    </row>
    <row r="745" spans="1:4" x14ac:dyDescent="0.25">
      <c r="A745" s="1">
        <f>IF(Param!$B$9=1,DbExcel!A745,DbWservice!A745)</f>
        <v>0</v>
      </c>
      <c r="B745" s="1">
        <f>IF(Param!$B$9=1,DbExcel!B745,DbWservice!B745)</f>
        <v>0</v>
      </c>
      <c r="C745" s="1">
        <f>IF(Param!$B$9=1,DbExcel!C745,DbWservice!C745)</f>
        <v>0</v>
      </c>
      <c r="D745" s="1">
        <f>IF(Param!$B$9=1,DbExcel!D745,DbWservice!D745)</f>
        <v>0</v>
      </c>
    </row>
    <row r="746" spans="1:4" x14ac:dyDescent="0.25">
      <c r="A746" s="1">
        <f>IF(Param!$B$9=1,DbExcel!A746,DbWservice!A746)</f>
        <v>0</v>
      </c>
      <c r="B746" s="1">
        <f>IF(Param!$B$9=1,DbExcel!B746,DbWservice!B746)</f>
        <v>0</v>
      </c>
      <c r="C746" s="1">
        <f>IF(Param!$B$9=1,DbExcel!C746,DbWservice!C746)</f>
        <v>0</v>
      </c>
      <c r="D746" s="1">
        <f>IF(Param!$B$9=1,DbExcel!D746,DbWservice!D746)</f>
        <v>0</v>
      </c>
    </row>
    <row r="747" spans="1:4" x14ac:dyDescent="0.25">
      <c r="A747" s="1">
        <f>IF(Param!$B$9=1,DbExcel!A747,DbWservice!A747)</f>
        <v>0</v>
      </c>
      <c r="B747" s="1">
        <f>IF(Param!$B$9=1,DbExcel!B747,DbWservice!B747)</f>
        <v>0</v>
      </c>
      <c r="C747" s="1">
        <f>IF(Param!$B$9=1,DbExcel!C747,DbWservice!C747)</f>
        <v>0</v>
      </c>
      <c r="D747" s="1">
        <f>IF(Param!$B$9=1,DbExcel!D747,DbWservice!D747)</f>
        <v>0</v>
      </c>
    </row>
    <row r="748" spans="1:4" x14ac:dyDescent="0.25">
      <c r="A748" s="1">
        <f>IF(Param!$B$9=1,DbExcel!A748,DbWservice!A748)</f>
        <v>0</v>
      </c>
      <c r="B748" s="1">
        <f>IF(Param!$B$9=1,DbExcel!B748,DbWservice!B748)</f>
        <v>0</v>
      </c>
      <c r="C748" s="1">
        <f>IF(Param!$B$9=1,DbExcel!C748,DbWservice!C748)</f>
        <v>0</v>
      </c>
      <c r="D748" s="1">
        <f>IF(Param!$B$9=1,DbExcel!D748,DbWservice!D748)</f>
        <v>0</v>
      </c>
    </row>
    <row r="749" spans="1:4" x14ac:dyDescent="0.25">
      <c r="A749" s="1">
        <f>IF(Param!$B$9=1,DbExcel!A749,DbWservice!A749)</f>
        <v>0</v>
      </c>
      <c r="B749" s="1">
        <f>IF(Param!$B$9=1,DbExcel!B749,DbWservice!B749)</f>
        <v>0</v>
      </c>
      <c r="C749" s="1">
        <f>IF(Param!$B$9=1,DbExcel!C749,DbWservice!C749)</f>
        <v>0</v>
      </c>
      <c r="D749" s="1">
        <f>IF(Param!$B$9=1,DbExcel!D749,DbWservice!D749)</f>
        <v>0</v>
      </c>
    </row>
    <row r="750" spans="1:4" x14ac:dyDescent="0.25">
      <c r="A750" s="1">
        <f>IF(Param!$B$9=1,DbExcel!A750,DbWservice!A750)</f>
        <v>0</v>
      </c>
      <c r="B750" s="1">
        <f>IF(Param!$B$9=1,DbExcel!B750,DbWservice!B750)</f>
        <v>0</v>
      </c>
      <c r="C750" s="1">
        <f>IF(Param!$B$9=1,DbExcel!C750,DbWservice!C750)</f>
        <v>0</v>
      </c>
      <c r="D750" s="1">
        <f>IF(Param!$B$9=1,DbExcel!D750,DbWservice!D750)</f>
        <v>0</v>
      </c>
    </row>
    <row r="751" spans="1:4" x14ac:dyDescent="0.25">
      <c r="A751" s="1">
        <f>IF(Param!$B$9=1,DbExcel!A751,DbWservice!A751)</f>
        <v>0</v>
      </c>
      <c r="B751" s="1">
        <f>IF(Param!$B$9=1,DbExcel!B751,DbWservice!B751)</f>
        <v>0</v>
      </c>
      <c r="C751" s="1">
        <f>IF(Param!$B$9=1,DbExcel!C751,DbWservice!C751)</f>
        <v>0</v>
      </c>
      <c r="D751" s="1">
        <f>IF(Param!$B$9=1,DbExcel!D751,DbWservice!D751)</f>
        <v>0</v>
      </c>
    </row>
    <row r="752" spans="1:4" x14ac:dyDescent="0.25">
      <c r="A752" s="1">
        <f>IF(Param!$B$9=1,DbExcel!A752,DbWservice!A752)</f>
        <v>0</v>
      </c>
      <c r="B752" s="1">
        <f>IF(Param!$B$9=1,DbExcel!B752,DbWservice!B752)</f>
        <v>0</v>
      </c>
      <c r="C752" s="1">
        <f>IF(Param!$B$9=1,DbExcel!C752,DbWservice!C752)</f>
        <v>0</v>
      </c>
      <c r="D752" s="1">
        <f>IF(Param!$B$9=1,DbExcel!D752,DbWservice!D752)</f>
        <v>0</v>
      </c>
    </row>
    <row r="753" spans="1:4" x14ac:dyDescent="0.25">
      <c r="A753" s="1">
        <f>IF(Param!$B$9=1,DbExcel!A753,DbWservice!A753)</f>
        <v>0</v>
      </c>
      <c r="B753" s="1">
        <f>IF(Param!$B$9=1,DbExcel!B753,DbWservice!B753)</f>
        <v>0</v>
      </c>
      <c r="C753" s="1">
        <f>IF(Param!$B$9=1,DbExcel!C753,DbWservice!C753)</f>
        <v>0</v>
      </c>
      <c r="D753" s="1">
        <f>IF(Param!$B$9=1,DbExcel!D753,DbWservice!D753)</f>
        <v>0</v>
      </c>
    </row>
    <row r="754" spans="1:4" x14ac:dyDescent="0.25">
      <c r="A754" s="1">
        <f>IF(Param!$B$9=1,DbExcel!A754,DbWservice!A754)</f>
        <v>0</v>
      </c>
      <c r="B754" s="1">
        <f>IF(Param!$B$9=1,DbExcel!B754,DbWservice!B754)</f>
        <v>0</v>
      </c>
      <c r="C754" s="1">
        <f>IF(Param!$B$9=1,DbExcel!C754,DbWservice!C754)</f>
        <v>0</v>
      </c>
      <c r="D754" s="1">
        <f>IF(Param!$B$9=1,DbExcel!D754,DbWservice!D754)</f>
        <v>0</v>
      </c>
    </row>
    <row r="755" spans="1:4" x14ac:dyDescent="0.25">
      <c r="A755" s="1">
        <f>IF(Param!$B$9=1,DbExcel!A755,DbWservice!A755)</f>
        <v>0</v>
      </c>
      <c r="B755" s="1">
        <f>IF(Param!$B$9=1,DbExcel!B755,DbWservice!B755)</f>
        <v>0</v>
      </c>
      <c r="C755" s="1">
        <f>IF(Param!$B$9=1,DbExcel!C755,DbWservice!C755)</f>
        <v>0</v>
      </c>
      <c r="D755" s="1">
        <f>IF(Param!$B$9=1,DbExcel!D755,DbWservice!D755)</f>
        <v>0</v>
      </c>
    </row>
    <row r="756" spans="1:4" x14ac:dyDescent="0.25">
      <c r="A756" s="1">
        <f>IF(Param!$B$9=1,DbExcel!A756,DbWservice!A756)</f>
        <v>0</v>
      </c>
      <c r="B756" s="1">
        <f>IF(Param!$B$9=1,DbExcel!B756,DbWservice!B756)</f>
        <v>0</v>
      </c>
      <c r="C756" s="1">
        <f>IF(Param!$B$9=1,DbExcel!C756,DbWservice!C756)</f>
        <v>0</v>
      </c>
      <c r="D756" s="1">
        <f>IF(Param!$B$9=1,DbExcel!D756,DbWservice!D756)</f>
        <v>0</v>
      </c>
    </row>
    <row r="757" spans="1:4" x14ac:dyDescent="0.25">
      <c r="A757" s="1">
        <f>IF(Param!$B$9=1,DbExcel!A757,DbWservice!A757)</f>
        <v>0</v>
      </c>
      <c r="B757" s="1">
        <f>IF(Param!$B$9=1,DbExcel!B757,DbWservice!B757)</f>
        <v>0</v>
      </c>
      <c r="C757" s="1">
        <f>IF(Param!$B$9=1,DbExcel!C757,DbWservice!C757)</f>
        <v>0</v>
      </c>
      <c r="D757" s="1">
        <f>IF(Param!$B$9=1,DbExcel!D757,DbWservice!D757)</f>
        <v>0</v>
      </c>
    </row>
    <row r="758" spans="1:4" x14ac:dyDescent="0.25">
      <c r="A758" s="1">
        <f>IF(Param!$B$9=1,DbExcel!A758,DbWservice!A758)</f>
        <v>0</v>
      </c>
      <c r="B758" s="1">
        <f>IF(Param!$B$9=1,DbExcel!B758,DbWservice!B758)</f>
        <v>0</v>
      </c>
      <c r="C758" s="1">
        <f>IF(Param!$B$9=1,DbExcel!C758,DbWservice!C758)</f>
        <v>0</v>
      </c>
      <c r="D758" s="1">
        <f>IF(Param!$B$9=1,DbExcel!D758,DbWservice!D758)</f>
        <v>0</v>
      </c>
    </row>
    <row r="759" spans="1:4" x14ac:dyDescent="0.25">
      <c r="A759" s="1">
        <f>IF(Param!$B$9=1,DbExcel!A759,DbWservice!A759)</f>
        <v>0</v>
      </c>
      <c r="B759" s="1">
        <f>IF(Param!$B$9=1,DbExcel!B759,DbWservice!B759)</f>
        <v>0</v>
      </c>
      <c r="C759" s="1">
        <f>IF(Param!$B$9=1,DbExcel!C759,DbWservice!C759)</f>
        <v>0</v>
      </c>
      <c r="D759" s="1">
        <f>IF(Param!$B$9=1,DbExcel!D759,DbWservice!D759)</f>
        <v>0</v>
      </c>
    </row>
    <row r="760" spans="1:4" x14ac:dyDescent="0.25">
      <c r="A760" s="1">
        <f>IF(Param!$B$9=1,DbExcel!A760,DbWservice!A760)</f>
        <v>0</v>
      </c>
      <c r="B760" s="1">
        <f>IF(Param!$B$9=1,DbExcel!B760,DbWservice!B760)</f>
        <v>0</v>
      </c>
      <c r="C760" s="1">
        <f>IF(Param!$B$9=1,DbExcel!C760,DbWservice!C760)</f>
        <v>0</v>
      </c>
      <c r="D760" s="1">
        <f>IF(Param!$B$9=1,DbExcel!D760,DbWservice!D760)</f>
        <v>0</v>
      </c>
    </row>
    <row r="761" spans="1:4" x14ac:dyDescent="0.25">
      <c r="A761" s="1">
        <f>IF(Param!$B$9=1,DbExcel!A761,DbWservice!A761)</f>
        <v>0</v>
      </c>
      <c r="B761" s="1">
        <f>IF(Param!$B$9=1,DbExcel!B761,DbWservice!B761)</f>
        <v>0</v>
      </c>
      <c r="C761" s="1">
        <f>IF(Param!$B$9=1,DbExcel!C761,DbWservice!C761)</f>
        <v>0</v>
      </c>
      <c r="D761" s="1">
        <f>IF(Param!$B$9=1,DbExcel!D761,DbWservice!D761)</f>
        <v>0</v>
      </c>
    </row>
    <row r="762" spans="1:4" x14ac:dyDescent="0.25">
      <c r="A762" s="1">
        <f>IF(Param!$B$9=1,DbExcel!A762,DbWservice!A762)</f>
        <v>0</v>
      </c>
      <c r="B762" s="1">
        <f>IF(Param!$B$9=1,DbExcel!B762,DbWservice!B762)</f>
        <v>0</v>
      </c>
      <c r="C762" s="1">
        <f>IF(Param!$B$9=1,DbExcel!C762,DbWservice!C762)</f>
        <v>0</v>
      </c>
      <c r="D762" s="1">
        <f>IF(Param!$B$9=1,DbExcel!D762,DbWservice!D762)</f>
        <v>0</v>
      </c>
    </row>
    <row r="763" spans="1:4" x14ac:dyDescent="0.25">
      <c r="A763" s="1">
        <f>IF(Param!$B$9=1,DbExcel!A763,DbWservice!A763)</f>
        <v>0</v>
      </c>
      <c r="B763" s="1">
        <f>IF(Param!$B$9=1,DbExcel!B763,DbWservice!B763)</f>
        <v>0</v>
      </c>
      <c r="C763" s="1">
        <f>IF(Param!$B$9=1,DbExcel!C763,DbWservice!C763)</f>
        <v>0</v>
      </c>
      <c r="D763" s="1">
        <f>IF(Param!$B$9=1,DbExcel!D763,DbWservice!D763)</f>
        <v>0</v>
      </c>
    </row>
    <row r="764" spans="1:4" x14ac:dyDescent="0.25">
      <c r="A764" s="1">
        <f>IF(Param!$B$9=1,DbExcel!A764,DbWservice!A764)</f>
        <v>0</v>
      </c>
      <c r="B764" s="1">
        <f>IF(Param!$B$9=1,DbExcel!B764,DbWservice!B764)</f>
        <v>0</v>
      </c>
      <c r="C764" s="1">
        <f>IF(Param!$B$9=1,DbExcel!C764,DbWservice!C764)</f>
        <v>0</v>
      </c>
      <c r="D764" s="1">
        <f>IF(Param!$B$9=1,DbExcel!D764,DbWservice!D764)</f>
        <v>0</v>
      </c>
    </row>
    <row r="765" spans="1:4" x14ac:dyDescent="0.25">
      <c r="A765" s="1">
        <f>IF(Param!$B$9=1,DbExcel!A765,DbWservice!A765)</f>
        <v>0</v>
      </c>
      <c r="B765" s="1">
        <f>IF(Param!$B$9=1,DbExcel!B765,DbWservice!B765)</f>
        <v>0</v>
      </c>
      <c r="C765" s="1">
        <f>IF(Param!$B$9=1,DbExcel!C765,DbWservice!C765)</f>
        <v>0</v>
      </c>
      <c r="D765" s="1">
        <f>IF(Param!$B$9=1,DbExcel!D765,DbWservice!D765)</f>
        <v>0</v>
      </c>
    </row>
    <row r="766" spans="1:4" x14ac:dyDescent="0.25">
      <c r="A766" s="1">
        <f>IF(Param!$B$9=1,DbExcel!A766,DbWservice!A766)</f>
        <v>0</v>
      </c>
      <c r="B766" s="1">
        <f>IF(Param!$B$9=1,DbExcel!B766,DbWservice!B766)</f>
        <v>0</v>
      </c>
      <c r="C766" s="1">
        <f>IF(Param!$B$9=1,DbExcel!C766,DbWservice!C766)</f>
        <v>0</v>
      </c>
      <c r="D766" s="1">
        <f>IF(Param!$B$9=1,DbExcel!D766,DbWservice!D766)</f>
        <v>0</v>
      </c>
    </row>
    <row r="767" spans="1:4" x14ac:dyDescent="0.25">
      <c r="A767" s="1">
        <f>IF(Param!$B$9=1,DbExcel!A767,DbWservice!A767)</f>
        <v>0</v>
      </c>
      <c r="B767" s="1">
        <f>IF(Param!$B$9=1,DbExcel!B767,DbWservice!B767)</f>
        <v>0</v>
      </c>
      <c r="C767" s="1">
        <f>IF(Param!$B$9=1,DbExcel!C767,DbWservice!C767)</f>
        <v>0</v>
      </c>
      <c r="D767" s="1">
        <f>IF(Param!$B$9=1,DbExcel!D767,DbWservice!D767)</f>
        <v>0</v>
      </c>
    </row>
    <row r="768" spans="1:4" x14ac:dyDescent="0.25">
      <c r="A768" s="1">
        <f>IF(Param!$B$9=1,DbExcel!A768,DbWservice!A768)</f>
        <v>0</v>
      </c>
      <c r="B768" s="1">
        <f>IF(Param!$B$9=1,DbExcel!B768,DbWservice!B768)</f>
        <v>0</v>
      </c>
      <c r="C768" s="1">
        <f>IF(Param!$B$9=1,DbExcel!C768,DbWservice!C768)</f>
        <v>0</v>
      </c>
      <c r="D768" s="1">
        <f>IF(Param!$B$9=1,DbExcel!D768,DbWservice!D768)</f>
        <v>0</v>
      </c>
    </row>
    <row r="769" spans="1:4" x14ac:dyDescent="0.25">
      <c r="A769" s="1">
        <f>IF(Param!$B$9=1,DbExcel!A769,DbWservice!A769)</f>
        <v>0</v>
      </c>
      <c r="B769" s="1">
        <f>IF(Param!$B$9=1,DbExcel!B769,DbWservice!B769)</f>
        <v>0</v>
      </c>
      <c r="C769" s="1">
        <f>IF(Param!$B$9=1,DbExcel!C769,DbWservice!C769)</f>
        <v>0</v>
      </c>
      <c r="D769" s="1">
        <f>IF(Param!$B$9=1,DbExcel!D769,DbWservice!D769)</f>
        <v>0</v>
      </c>
    </row>
    <row r="770" spans="1:4" x14ac:dyDescent="0.25">
      <c r="A770" s="1">
        <f>IF(Param!$B$9=1,DbExcel!A770,DbWservice!A770)</f>
        <v>0</v>
      </c>
      <c r="B770" s="1">
        <f>IF(Param!$B$9=1,DbExcel!B770,DbWservice!B770)</f>
        <v>0</v>
      </c>
      <c r="C770" s="1">
        <f>IF(Param!$B$9=1,DbExcel!C770,DbWservice!C770)</f>
        <v>0</v>
      </c>
      <c r="D770" s="1">
        <f>IF(Param!$B$9=1,DbExcel!D770,DbWservice!D770)</f>
        <v>0</v>
      </c>
    </row>
    <row r="771" spans="1:4" x14ac:dyDescent="0.25">
      <c r="A771" s="1">
        <f>IF(Param!$B$9=1,DbExcel!A771,DbWservice!A771)</f>
        <v>0</v>
      </c>
      <c r="B771" s="1">
        <f>IF(Param!$B$9=1,DbExcel!B771,DbWservice!B771)</f>
        <v>0</v>
      </c>
      <c r="C771" s="1">
        <f>IF(Param!$B$9=1,DbExcel!C771,DbWservice!C771)</f>
        <v>0</v>
      </c>
      <c r="D771" s="1">
        <f>IF(Param!$B$9=1,DbExcel!D771,DbWservice!D771)</f>
        <v>0</v>
      </c>
    </row>
    <row r="772" spans="1:4" x14ac:dyDescent="0.25">
      <c r="A772" s="1">
        <f>IF(Param!$B$9=1,DbExcel!A772,DbWservice!A772)</f>
        <v>0</v>
      </c>
      <c r="B772" s="1">
        <f>IF(Param!$B$9=1,DbExcel!B772,DbWservice!B772)</f>
        <v>0</v>
      </c>
      <c r="C772" s="1">
        <f>IF(Param!$B$9=1,DbExcel!C772,DbWservice!C772)</f>
        <v>0</v>
      </c>
      <c r="D772" s="1">
        <f>IF(Param!$B$9=1,DbExcel!D772,DbWservice!D772)</f>
        <v>0</v>
      </c>
    </row>
    <row r="773" spans="1:4" x14ac:dyDescent="0.25">
      <c r="A773" s="1">
        <f>IF(Param!$B$9=1,DbExcel!A773,DbWservice!A773)</f>
        <v>0</v>
      </c>
      <c r="B773" s="1">
        <f>IF(Param!$B$9=1,DbExcel!B773,DbWservice!B773)</f>
        <v>0</v>
      </c>
      <c r="C773" s="1">
        <f>IF(Param!$B$9=1,DbExcel!C773,DbWservice!C773)</f>
        <v>0</v>
      </c>
      <c r="D773" s="1">
        <f>IF(Param!$B$9=1,DbExcel!D773,DbWservice!D773)</f>
        <v>0</v>
      </c>
    </row>
    <row r="774" spans="1:4" x14ac:dyDescent="0.25">
      <c r="A774" s="1">
        <f>IF(Param!$B$9=1,DbExcel!A774,DbWservice!A774)</f>
        <v>0</v>
      </c>
      <c r="B774" s="1">
        <f>IF(Param!$B$9=1,DbExcel!B774,DbWservice!B774)</f>
        <v>0</v>
      </c>
      <c r="C774" s="1">
        <f>IF(Param!$B$9=1,DbExcel!C774,DbWservice!C774)</f>
        <v>0</v>
      </c>
      <c r="D774" s="1">
        <f>IF(Param!$B$9=1,DbExcel!D774,DbWservice!D774)</f>
        <v>0</v>
      </c>
    </row>
    <row r="775" spans="1:4" x14ac:dyDescent="0.25">
      <c r="A775" s="1">
        <f>IF(Param!$B$9=1,DbExcel!A775,DbWservice!A775)</f>
        <v>0</v>
      </c>
      <c r="B775" s="1">
        <f>IF(Param!$B$9=1,DbExcel!B775,DbWservice!B775)</f>
        <v>0</v>
      </c>
      <c r="C775" s="1">
        <f>IF(Param!$B$9=1,DbExcel!C775,DbWservice!C775)</f>
        <v>0</v>
      </c>
      <c r="D775" s="1">
        <f>IF(Param!$B$9=1,DbExcel!D775,DbWservice!D775)</f>
        <v>0</v>
      </c>
    </row>
    <row r="776" spans="1:4" x14ac:dyDescent="0.25">
      <c r="A776" s="1">
        <f>IF(Param!$B$9=1,DbExcel!A776,DbWservice!A776)</f>
        <v>0</v>
      </c>
      <c r="B776" s="1">
        <f>IF(Param!$B$9=1,DbExcel!B776,DbWservice!B776)</f>
        <v>0</v>
      </c>
      <c r="C776" s="1">
        <f>IF(Param!$B$9=1,DbExcel!C776,DbWservice!C776)</f>
        <v>0</v>
      </c>
      <c r="D776" s="1">
        <f>IF(Param!$B$9=1,DbExcel!D776,DbWservice!D776)</f>
        <v>0</v>
      </c>
    </row>
    <row r="777" spans="1:4" x14ac:dyDescent="0.25">
      <c r="A777" s="1">
        <f>IF(Param!$B$9=1,DbExcel!A777,DbWservice!A777)</f>
        <v>0</v>
      </c>
      <c r="B777" s="1">
        <f>IF(Param!$B$9=1,DbExcel!B777,DbWservice!B777)</f>
        <v>0</v>
      </c>
      <c r="C777" s="1">
        <f>IF(Param!$B$9=1,DbExcel!C777,DbWservice!C777)</f>
        <v>0</v>
      </c>
      <c r="D777" s="1">
        <f>IF(Param!$B$9=1,DbExcel!D777,DbWservice!D777)</f>
        <v>0</v>
      </c>
    </row>
    <row r="778" spans="1:4" x14ac:dyDescent="0.25">
      <c r="A778" s="1">
        <f>IF(Param!$B$9=1,DbExcel!A778,DbWservice!A778)</f>
        <v>0</v>
      </c>
      <c r="B778" s="1">
        <f>IF(Param!$B$9=1,DbExcel!B778,DbWservice!B778)</f>
        <v>0</v>
      </c>
      <c r="C778" s="1">
        <f>IF(Param!$B$9=1,DbExcel!C778,DbWservice!C778)</f>
        <v>0</v>
      </c>
      <c r="D778" s="1">
        <f>IF(Param!$B$9=1,DbExcel!D778,DbWservice!D778)</f>
        <v>0</v>
      </c>
    </row>
    <row r="779" spans="1:4" x14ac:dyDescent="0.25">
      <c r="A779" s="1">
        <f>IF(Param!$B$9=1,DbExcel!A779,DbWservice!A779)</f>
        <v>0</v>
      </c>
      <c r="B779" s="1">
        <f>IF(Param!$B$9=1,DbExcel!B779,DbWservice!B779)</f>
        <v>0</v>
      </c>
      <c r="C779" s="1">
        <f>IF(Param!$B$9=1,DbExcel!C779,DbWservice!C779)</f>
        <v>0</v>
      </c>
      <c r="D779" s="1">
        <f>IF(Param!$B$9=1,DbExcel!D779,DbWservice!D779)</f>
        <v>0</v>
      </c>
    </row>
    <row r="780" spans="1:4" x14ac:dyDescent="0.25">
      <c r="A780" s="1">
        <f>IF(Param!$B$9=1,DbExcel!A780,DbWservice!A780)</f>
        <v>0</v>
      </c>
      <c r="B780" s="1">
        <f>IF(Param!$B$9=1,DbExcel!B780,DbWservice!B780)</f>
        <v>0</v>
      </c>
      <c r="C780" s="1">
        <f>IF(Param!$B$9=1,DbExcel!C780,DbWservice!C780)</f>
        <v>0</v>
      </c>
      <c r="D780" s="1">
        <f>IF(Param!$B$9=1,DbExcel!D780,DbWservice!D780)</f>
        <v>0</v>
      </c>
    </row>
    <row r="781" spans="1:4" x14ac:dyDescent="0.25">
      <c r="A781" s="1">
        <f>IF(Param!$B$9=1,DbExcel!A781,DbWservice!A781)</f>
        <v>0</v>
      </c>
      <c r="B781" s="1">
        <f>IF(Param!$B$9=1,DbExcel!B781,DbWservice!B781)</f>
        <v>0</v>
      </c>
      <c r="C781" s="1">
        <f>IF(Param!$B$9=1,DbExcel!C781,DbWservice!C781)</f>
        <v>0</v>
      </c>
      <c r="D781" s="1">
        <f>IF(Param!$B$9=1,DbExcel!D781,DbWservice!D781)</f>
        <v>0</v>
      </c>
    </row>
    <row r="782" spans="1:4" x14ac:dyDescent="0.25">
      <c r="A782" s="1">
        <f>IF(Param!$B$9=1,DbExcel!A782,DbWservice!A782)</f>
        <v>0</v>
      </c>
      <c r="B782" s="1">
        <f>IF(Param!$B$9=1,DbExcel!B782,DbWservice!B782)</f>
        <v>0</v>
      </c>
      <c r="C782" s="1">
        <f>IF(Param!$B$9=1,DbExcel!C782,DbWservice!C782)</f>
        <v>0</v>
      </c>
      <c r="D782" s="1">
        <f>IF(Param!$B$9=1,DbExcel!D782,DbWservice!D782)</f>
        <v>0</v>
      </c>
    </row>
    <row r="783" spans="1:4" x14ac:dyDescent="0.25">
      <c r="A783" s="1">
        <f>IF(Param!$B$9=1,DbExcel!A783,DbWservice!A783)</f>
        <v>0</v>
      </c>
      <c r="B783" s="1">
        <f>IF(Param!$B$9=1,DbExcel!B783,DbWservice!B783)</f>
        <v>0</v>
      </c>
      <c r="C783" s="1">
        <f>IF(Param!$B$9=1,DbExcel!C783,DbWservice!C783)</f>
        <v>0</v>
      </c>
      <c r="D783" s="1">
        <f>IF(Param!$B$9=1,DbExcel!D783,DbWservice!D783)</f>
        <v>0</v>
      </c>
    </row>
    <row r="784" spans="1:4" x14ac:dyDescent="0.25">
      <c r="A784" s="1">
        <f>IF(Param!$B$9=1,DbExcel!A784,DbWservice!A784)</f>
        <v>0</v>
      </c>
      <c r="B784" s="1">
        <f>IF(Param!$B$9=1,DbExcel!B784,DbWservice!B784)</f>
        <v>0</v>
      </c>
      <c r="C784" s="1">
        <f>IF(Param!$B$9=1,DbExcel!C784,DbWservice!C784)</f>
        <v>0</v>
      </c>
      <c r="D784" s="1">
        <f>IF(Param!$B$9=1,DbExcel!D784,DbWservice!D784)</f>
        <v>0</v>
      </c>
    </row>
    <row r="785" spans="1:4" x14ac:dyDescent="0.25">
      <c r="A785" s="1">
        <f>IF(Param!$B$9=1,DbExcel!A785,DbWservice!A785)</f>
        <v>0</v>
      </c>
      <c r="B785" s="1">
        <f>IF(Param!$B$9=1,DbExcel!B785,DbWservice!B785)</f>
        <v>0</v>
      </c>
      <c r="C785" s="1">
        <f>IF(Param!$B$9=1,DbExcel!C785,DbWservice!C785)</f>
        <v>0</v>
      </c>
      <c r="D785" s="1">
        <f>IF(Param!$B$9=1,DbExcel!D785,DbWservice!D785)</f>
        <v>0</v>
      </c>
    </row>
    <row r="786" spans="1:4" x14ac:dyDescent="0.25">
      <c r="A786" s="1">
        <f>IF(Param!$B$9=1,DbExcel!A786,DbWservice!A786)</f>
        <v>0</v>
      </c>
      <c r="B786" s="1">
        <f>IF(Param!$B$9=1,DbExcel!B786,DbWservice!B786)</f>
        <v>0</v>
      </c>
      <c r="C786" s="1">
        <f>IF(Param!$B$9=1,DbExcel!C786,DbWservice!C786)</f>
        <v>0</v>
      </c>
      <c r="D786" s="1">
        <f>IF(Param!$B$9=1,DbExcel!D786,DbWservice!D786)</f>
        <v>0</v>
      </c>
    </row>
    <row r="787" spans="1:4" x14ac:dyDescent="0.25">
      <c r="A787" s="1">
        <f>IF(Param!$B$9=1,DbExcel!A787,DbWservice!A787)</f>
        <v>0</v>
      </c>
      <c r="B787" s="1">
        <f>IF(Param!$B$9=1,DbExcel!B787,DbWservice!B787)</f>
        <v>0</v>
      </c>
      <c r="C787" s="1">
        <f>IF(Param!$B$9=1,DbExcel!C787,DbWservice!C787)</f>
        <v>0</v>
      </c>
      <c r="D787" s="1">
        <f>IF(Param!$B$9=1,DbExcel!D787,DbWservice!D787)</f>
        <v>0</v>
      </c>
    </row>
    <row r="788" spans="1:4" x14ac:dyDescent="0.25">
      <c r="A788" s="1">
        <f>IF(Param!$B$9=1,DbExcel!A788,DbWservice!A788)</f>
        <v>0</v>
      </c>
      <c r="B788" s="1">
        <f>IF(Param!$B$9=1,DbExcel!B788,DbWservice!B788)</f>
        <v>0</v>
      </c>
      <c r="C788" s="1">
        <f>IF(Param!$B$9=1,DbExcel!C788,DbWservice!C788)</f>
        <v>0</v>
      </c>
      <c r="D788" s="1">
        <f>IF(Param!$B$9=1,DbExcel!D788,DbWservice!D788)</f>
        <v>0</v>
      </c>
    </row>
    <row r="789" spans="1:4" x14ac:dyDescent="0.25">
      <c r="A789" s="1">
        <f>IF(Param!$B$9=1,DbExcel!A789,DbWservice!A789)</f>
        <v>0</v>
      </c>
      <c r="B789" s="1">
        <f>IF(Param!$B$9=1,DbExcel!B789,DbWservice!B789)</f>
        <v>0</v>
      </c>
      <c r="C789" s="1">
        <f>IF(Param!$B$9=1,DbExcel!C789,DbWservice!C789)</f>
        <v>0</v>
      </c>
      <c r="D789" s="1">
        <f>IF(Param!$B$9=1,DbExcel!D789,DbWservice!D789)</f>
        <v>0</v>
      </c>
    </row>
    <row r="790" spans="1:4" x14ac:dyDescent="0.25">
      <c r="A790" s="1">
        <f>IF(Param!$B$9=1,DbExcel!A790,DbWservice!A790)</f>
        <v>0</v>
      </c>
      <c r="B790" s="1">
        <f>IF(Param!$B$9=1,DbExcel!B790,DbWservice!B790)</f>
        <v>0</v>
      </c>
      <c r="C790" s="1">
        <f>IF(Param!$B$9=1,DbExcel!C790,DbWservice!C790)</f>
        <v>0</v>
      </c>
      <c r="D790" s="1">
        <f>IF(Param!$B$9=1,DbExcel!D790,DbWservice!D790)</f>
        <v>0</v>
      </c>
    </row>
    <row r="791" spans="1:4" x14ac:dyDescent="0.25">
      <c r="A791" s="1">
        <f>IF(Param!$B$9=1,DbExcel!A791,DbWservice!A791)</f>
        <v>0</v>
      </c>
      <c r="B791" s="1">
        <f>IF(Param!$B$9=1,DbExcel!B791,DbWservice!B791)</f>
        <v>0</v>
      </c>
      <c r="C791" s="1">
        <f>IF(Param!$B$9=1,DbExcel!C791,DbWservice!C791)</f>
        <v>0</v>
      </c>
      <c r="D791" s="1">
        <f>IF(Param!$B$9=1,DbExcel!D791,DbWservice!D791)</f>
        <v>0</v>
      </c>
    </row>
    <row r="792" spans="1:4" x14ac:dyDescent="0.25">
      <c r="A792" s="1">
        <f>IF(Param!$B$9=1,DbExcel!A792,DbWservice!A792)</f>
        <v>0</v>
      </c>
      <c r="B792" s="1">
        <f>IF(Param!$B$9=1,DbExcel!B792,DbWservice!B792)</f>
        <v>0</v>
      </c>
      <c r="C792" s="1">
        <f>IF(Param!$B$9=1,DbExcel!C792,DbWservice!C792)</f>
        <v>0</v>
      </c>
      <c r="D792" s="1">
        <f>IF(Param!$B$9=1,DbExcel!D792,DbWservice!D792)</f>
        <v>0</v>
      </c>
    </row>
    <row r="793" spans="1:4" x14ac:dyDescent="0.25">
      <c r="A793" s="1">
        <f>IF(Param!$B$9=1,DbExcel!A793,DbWservice!A793)</f>
        <v>0</v>
      </c>
      <c r="B793" s="1">
        <f>IF(Param!$B$9=1,DbExcel!B793,DbWservice!B793)</f>
        <v>0</v>
      </c>
      <c r="C793" s="1">
        <f>IF(Param!$B$9=1,DbExcel!C793,DbWservice!C793)</f>
        <v>0</v>
      </c>
      <c r="D793" s="1">
        <f>IF(Param!$B$9=1,DbExcel!D793,DbWservice!D793)</f>
        <v>0</v>
      </c>
    </row>
    <row r="794" spans="1:4" x14ac:dyDescent="0.25">
      <c r="A794" s="1">
        <f>IF(Param!$B$9=1,DbExcel!A794,DbWservice!A794)</f>
        <v>0</v>
      </c>
      <c r="B794" s="1">
        <f>IF(Param!$B$9=1,DbExcel!B794,DbWservice!B794)</f>
        <v>0</v>
      </c>
      <c r="C794" s="1">
        <f>IF(Param!$B$9=1,DbExcel!C794,DbWservice!C794)</f>
        <v>0</v>
      </c>
      <c r="D794" s="1">
        <f>IF(Param!$B$9=1,DbExcel!D794,DbWservice!D794)</f>
        <v>0</v>
      </c>
    </row>
    <row r="795" spans="1:4" x14ac:dyDescent="0.25">
      <c r="A795" s="1">
        <f>IF(Param!$B$9=1,DbExcel!A795,DbWservice!A795)</f>
        <v>0</v>
      </c>
      <c r="B795" s="1">
        <f>IF(Param!$B$9=1,DbExcel!B795,DbWservice!B795)</f>
        <v>0</v>
      </c>
      <c r="C795" s="1">
        <f>IF(Param!$B$9=1,DbExcel!C795,DbWservice!C795)</f>
        <v>0</v>
      </c>
      <c r="D795" s="1">
        <f>IF(Param!$B$9=1,DbExcel!D795,DbWservice!D795)</f>
        <v>0</v>
      </c>
    </row>
    <row r="796" spans="1:4" x14ac:dyDescent="0.25">
      <c r="A796" s="1">
        <f>IF(Param!$B$9=1,DbExcel!A796,DbWservice!A796)</f>
        <v>0</v>
      </c>
      <c r="B796" s="1">
        <f>IF(Param!$B$9=1,DbExcel!B796,DbWservice!B796)</f>
        <v>0</v>
      </c>
      <c r="C796" s="1">
        <f>IF(Param!$B$9=1,DbExcel!C796,DbWservice!C796)</f>
        <v>0</v>
      </c>
      <c r="D796" s="1">
        <f>IF(Param!$B$9=1,DbExcel!D796,DbWservice!D796)</f>
        <v>0</v>
      </c>
    </row>
    <row r="797" spans="1:4" x14ac:dyDescent="0.25">
      <c r="A797" s="1">
        <f>IF(Param!$B$9=1,DbExcel!A797,DbWservice!A797)</f>
        <v>0</v>
      </c>
      <c r="B797" s="1">
        <f>IF(Param!$B$9=1,DbExcel!B797,DbWservice!B797)</f>
        <v>0</v>
      </c>
      <c r="C797" s="1">
        <f>IF(Param!$B$9=1,DbExcel!C797,DbWservice!C797)</f>
        <v>0</v>
      </c>
      <c r="D797" s="1">
        <f>IF(Param!$B$9=1,DbExcel!D797,DbWservice!D797)</f>
        <v>0</v>
      </c>
    </row>
    <row r="798" spans="1:4" x14ac:dyDescent="0.25">
      <c r="A798" s="1">
        <f>IF(Param!$B$9=1,DbExcel!A798,DbWservice!A798)</f>
        <v>0</v>
      </c>
      <c r="B798" s="1">
        <f>IF(Param!$B$9=1,DbExcel!B798,DbWservice!B798)</f>
        <v>0</v>
      </c>
      <c r="C798" s="1">
        <f>IF(Param!$B$9=1,DbExcel!C798,DbWservice!C798)</f>
        <v>0</v>
      </c>
      <c r="D798" s="1">
        <f>IF(Param!$B$9=1,DbExcel!D798,DbWservice!D798)</f>
        <v>0</v>
      </c>
    </row>
    <row r="799" spans="1:4" x14ac:dyDescent="0.25">
      <c r="A799" s="1">
        <f>IF(Param!$B$9=1,DbExcel!A799,DbWservice!A799)</f>
        <v>0</v>
      </c>
      <c r="B799" s="1">
        <f>IF(Param!$B$9=1,DbExcel!B799,DbWservice!B799)</f>
        <v>0</v>
      </c>
      <c r="C799" s="1">
        <f>IF(Param!$B$9=1,DbExcel!C799,DbWservice!C799)</f>
        <v>0</v>
      </c>
      <c r="D799" s="1">
        <f>IF(Param!$B$9=1,DbExcel!D799,DbWservice!D799)</f>
        <v>0</v>
      </c>
    </row>
    <row r="800" spans="1:4" x14ac:dyDescent="0.25">
      <c r="A800" s="1">
        <f>IF(Param!$B$9=1,DbExcel!A800,DbWservice!A800)</f>
        <v>0</v>
      </c>
      <c r="B800" s="1">
        <f>IF(Param!$B$9=1,DbExcel!B800,DbWservice!B800)</f>
        <v>0</v>
      </c>
      <c r="C800" s="1">
        <f>IF(Param!$B$9=1,DbExcel!C800,DbWservice!C800)</f>
        <v>0</v>
      </c>
      <c r="D800" s="1">
        <f>IF(Param!$B$9=1,DbExcel!D800,DbWservice!D800)</f>
        <v>0</v>
      </c>
    </row>
    <row r="801" spans="1:4" x14ac:dyDescent="0.25">
      <c r="A801" s="1">
        <f>IF(Param!$B$9=1,DbExcel!A801,DbWservice!A801)</f>
        <v>0</v>
      </c>
      <c r="B801" s="1">
        <f>IF(Param!$B$9=1,DbExcel!B801,DbWservice!B801)</f>
        <v>0</v>
      </c>
      <c r="C801" s="1">
        <f>IF(Param!$B$9=1,DbExcel!C801,DbWservice!C801)</f>
        <v>0</v>
      </c>
      <c r="D801" s="1">
        <f>IF(Param!$B$9=1,DbExcel!D801,DbWservice!D801)</f>
        <v>0</v>
      </c>
    </row>
    <row r="802" spans="1:4" x14ac:dyDescent="0.25">
      <c r="A802" s="1">
        <f>IF(Param!$B$9=1,DbExcel!A802,DbWservice!A802)</f>
        <v>0</v>
      </c>
      <c r="B802" s="1">
        <f>IF(Param!$B$9=1,DbExcel!B802,DbWservice!B802)</f>
        <v>0</v>
      </c>
      <c r="C802" s="1">
        <f>IF(Param!$B$9=1,DbExcel!C802,DbWservice!C802)</f>
        <v>0</v>
      </c>
      <c r="D802" s="1">
        <f>IF(Param!$B$9=1,DbExcel!D802,DbWservice!D802)</f>
        <v>0</v>
      </c>
    </row>
    <row r="803" spans="1:4" x14ac:dyDescent="0.25">
      <c r="A803" s="1">
        <f>IF(Param!$B$9=1,DbExcel!A803,DbWservice!A803)</f>
        <v>0</v>
      </c>
      <c r="B803" s="1">
        <f>IF(Param!$B$9=1,DbExcel!B803,DbWservice!B803)</f>
        <v>0</v>
      </c>
      <c r="C803" s="1">
        <f>IF(Param!$B$9=1,DbExcel!C803,DbWservice!C803)</f>
        <v>0</v>
      </c>
      <c r="D803" s="1">
        <f>IF(Param!$B$9=1,DbExcel!D803,DbWservice!D803)</f>
        <v>0</v>
      </c>
    </row>
    <row r="804" spans="1:4" x14ac:dyDescent="0.25">
      <c r="A804" s="1">
        <f>IF(Param!$B$9=1,DbExcel!A804,DbWservice!A804)</f>
        <v>0</v>
      </c>
      <c r="B804" s="1">
        <f>IF(Param!$B$9=1,DbExcel!B804,DbWservice!B804)</f>
        <v>0</v>
      </c>
      <c r="C804" s="1">
        <f>IF(Param!$B$9=1,DbExcel!C804,DbWservice!C804)</f>
        <v>0</v>
      </c>
      <c r="D804" s="1">
        <f>IF(Param!$B$9=1,DbExcel!D804,DbWservice!D804)</f>
        <v>0</v>
      </c>
    </row>
    <row r="805" spans="1:4" x14ac:dyDescent="0.25">
      <c r="A805" s="1">
        <f>IF(Param!$B$9=1,DbExcel!A805,DbWservice!A805)</f>
        <v>0</v>
      </c>
      <c r="B805" s="1">
        <f>IF(Param!$B$9=1,DbExcel!B805,DbWservice!B805)</f>
        <v>0</v>
      </c>
      <c r="C805" s="1">
        <f>IF(Param!$B$9=1,DbExcel!C805,DbWservice!C805)</f>
        <v>0</v>
      </c>
      <c r="D805" s="1">
        <f>IF(Param!$B$9=1,DbExcel!D805,DbWservice!D805)</f>
        <v>0</v>
      </c>
    </row>
    <row r="806" spans="1:4" x14ac:dyDescent="0.25">
      <c r="A806" s="1">
        <f>IF(Param!$B$9=1,DbExcel!A806,DbWservice!A806)</f>
        <v>0</v>
      </c>
      <c r="B806" s="1">
        <f>IF(Param!$B$9=1,DbExcel!B806,DbWservice!B806)</f>
        <v>0</v>
      </c>
      <c r="C806" s="1">
        <f>IF(Param!$B$9=1,DbExcel!C806,DbWservice!C806)</f>
        <v>0</v>
      </c>
      <c r="D806" s="1">
        <f>IF(Param!$B$9=1,DbExcel!D806,DbWservice!D806)</f>
        <v>0</v>
      </c>
    </row>
    <row r="807" spans="1:4" x14ac:dyDescent="0.25">
      <c r="A807" s="1">
        <f>IF(Param!$B$9=1,DbExcel!A807,DbWservice!A807)</f>
        <v>0</v>
      </c>
      <c r="B807" s="1">
        <f>IF(Param!$B$9=1,DbExcel!B807,DbWservice!B807)</f>
        <v>0</v>
      </c>
      <c r="C807" s="1">
        <f>IF(Param!$B$9=1,DbExcel!C807,DbWservice!C807)</f>
        <v>0</v>
      </c>
      <c r="D807" s="1">
        <f>IF(Param!$B$9=1,DbExcel!D807,DbWservice!D807)</f>
        <v>0</v>
      </c>
    </row>
    <row r="808" spans="1:4" x14ac:dyDescent="0.25">
      <c r="A808" s="1">
        <f>IF(Param!$B$9=1,DbExcel!A808,DbWservice!A808)</f>
        <v>0</v>
      </c>
      <c r="B808" s="1">
        <f>IF(Param!$B$9=1,DbExcel!B808,DbWservice!B808)</f>
        <v>0</v>
      </c>
      <c r="C808" s="1">
        <f>IF(Param!$B$9=1,DbExcel!C808,DbWservice!C808)</f>
        <v>0</v>
      </c>
      <c r="D808" s="1">
        <f>IF(Param!$B$9=1,DbExcel!D808,DbWservice!D808)</f>
        <v>0</v>
      </c>
    </row>
    <row r="809" spans="1:4" x14ac:dyDescent="0.25">
      <c r="A809" s="1">
        <f>IF(Param!$B$9=1,DbExcel!A809,DbWservice!A809)</f>
        <v>0</v>
      </c>
      <c r="B809" s="1">
        <f>IF(Param!$B$9=1,DbExcel!B809,DbWservice!B809)</f>
        <v>0</v>
      </c>
      <c r="C809" s="1">
        <f>IF(Param!$B$9=1,DbExcel!C809,DbWservice!C809)</f>
        <v>0</v>
      </c>
      <c r="D809" s="1">
        <f>IF(Param!$B$9=1,DbExcel!D809,DbWservice!D809)</f>
        <v>0</v>
      </c>
    </row>
    <row r="810" spans="1:4" x14ac:dyDescent="0.25">
      <c r="A810" s="1">
        <f>IF(Param!$B$9=1,DbExcel!A810,DbWservice!A810)</f>
        <v>0</v>
      </c>
      <c r="B810" s="1">
        <f>IF(Param!$B$9=1,DbExcel!B810,DbWservice!B810)</f>
        <v>0</v>
      </c>
      <c r="C810" s="1">
        <f>IF(Param!$B$9=1,DbExcel!C810,DbWservice!C810)</f>
        <v>0</v>
      </c>
      <c r="D810" s="1">
        <f>IF(Param!$B$9=1,DbExcel!D810,DbWservice!D810)</f>
        <v>0</v>
      </c>
    </row>
    <row r="811" spans="1:4" x14ac:dyDescent="0.25">
      <c r="A811" s="1">
        <f>IF(Param!$B$9=1,DbExcel!A811,DbWservice!A811)</f>
        <v>0</v>
      </c>
      <c r="B811" s="1">
        <f>IF(Param!$B$9=1,DbExcel!B811,DbWservice!B811)</f>
        <v>0</v>
      </c>
      <c r="C811" s="1">
        <f>IF(Param!$B$9=1,DbExcel!C811,DbWservice!C811)</f>
        <v>0</v>
      </c>
      <c r="D811" s="1">
        <f>IF(Param!$B$9=1,DbExcel!D811,DbWservice!D811)</f>
        <v>0</v>
      </c>
    </row>
    <row r="812" spans="1:4" x14ac:dyDescent="0.25">
      <c r="A812" s="1">
        <f>IF(Param!$B$9=1,DbExcel!A812,DbWservice!A812)</f>
        <v>0</v>
      </c>
      <c r="B812" s="1">
        <f>IF(Param!$B$9=1,DbExcel!B812,DbWservice!B812)</f>
        <v>0</v>
      </c>
      <c r="C812" s="1">
        <f>IF(Param!$B$9=1,DbExcel!C812,DbWservice!C812)</f>
        <v>0</v>
      </c>
      <c r="D812" s="1">
        <f>IF(Param!$B$9=1,DbExcel!D812,DbWservice!D812)</f>
        <v>0</v>
      </c>
    </row>
    <row r="813" spans="1:4" x14ac:dyDescent="0.25">
      <c r="A813" s="1">
        <f>IF(Param!$B$9=1,DbExcel!A813,DbWservice!A813)</f>
        <v>0</v>
      </c>
      <c r="B813" s="1">
        <f>IF(Param!$B$9=1,DbExcel!B813,DbWservice!B813)</f>
        <v>0</v>
      </c>
      <c r="C813" s="1">
        <f>IF(Param!$B$9=1,DbExcel!C813,DbWservice!C813)</f>
        <v>0</v>
      </c>
      <c r="D813" s="1">
        <f>IF(Param!$B$9=1,DbExcel!D813,DbWservice!D813)</f>
        <v>0</v>
      </c>
    </row>
    <row r="814" spans="1:4" x14ac:dyDescent="0.25">
      <c r="A814" s="1">
        <f>IF(Param!$B$9=1,DbExcel!A814,DbWservice!A814)</f>
        <v>0</v>
      </c>
      <c r="B814" s="1">
        <f>IF(Param!$B$9=1,DbExcel!B814,DbWservice!B814)</f>
        <v>0</v>
      </c>
      <c r="C814" s="1">
        <f>IF(Param!$B$9=1,DbExcel!C814,DbWservice!C814)</f>
        <v>0</v>
      </c>
      <c r="D814" s="1">
        <f>IF(Param!$B$9=1,DbExcel!D814,DbWservice!D814)</f>
        <v>0</v>
      </c>
    </row>
    <row r="815" spans="1:4" x14ac:dyDescent="0.25">
      <c r="A815" s="1">
        <f>IF(Param!$B$9=1,DbExcel!A815,DbWservice!A815)</f>
        <v>0</v>
      </c>
      <c r="B815" s="1">
        <f>IF(Param!$B$9=1,DbExcel!B815,DbWservice!B815)</f>
        <v>0</v>
      </c>
      <c r="C815" s="1">
        <f>IF(Param!$B$9=1,DbExcel!C815,DbWservice!C815)</f>
        <v>0</v>
      </c>
      <c r="D815" s="1">
        <f>IF(Param!$B$9=1,DbExcel!D815,DbWservice!D815)</f>
        <v>0</v>
      </c>
    </row>
    <row r="816" spans="1:4" x14ac:dyDescent="0.25">
      <c r="A816" s="1">
        <f>IF(Param!$B$9=1,DbExcel!A816,DbWservice!A816)</f>
        <v>0</v>
      </c>
      <c r="B816" s="1">
        <f>IF(Param!$B$9=1,DbExcel!B816,DbWservice!B816)</f>
        <v>0</v>
      </c>
      <c r="C816" s="1">
        <f>IF(Param!$B$9=1,DbExcel!C816,DbWservice!C816)</f>
        <v>0</v>
      </c>
      <c r="D816" s="1">
        <f>IF(Param!$B$9=1,DbExcel!D816,DbWservice!D816)</f>
        <v>0</v>
      </c>
    </row>
    <row r="817" spans="1:4" x14ac:dyDescent="0.25">
      <c r="A817" s="1">
        <f>IF(Param!$B$9=1,DbExcel!A817,DbWservice!A817)</f>
        <v>0</v>
      </c>
      <c r="B817" s="1">
        <f>IF(Param!$B$9=1,DbExcel!B817,DbWservice!B817)</f>
        <v>0</v>
      </c>
      <c r="C817" s="1">
        <f>IF(Param!$B$9=1,DbExcel!C817,DbWservice!C817)</f>
        <v>0</v>
      </c>
      <c r="D817" s="1">
        <f>IF(Param!$B$9=1,DbExcel!D817,DbWservice!D817)</f>
        <v>0</v>
      </c>
    </row>
    <row r="818" spans="1:4" x14ac:dyDescent="0.25">
      <c r="A818" s="1">
        <f>IF(Param!$B$9=1,DbExcel!A818,DbWservice!A818)</f>
        <v>0</v>
      </c>
      <c r="B818" s="1">
        <f>IF(Param!$B$9=1,DbExcel!B818,DbWservice!B818)</f>
        <v>0</v>
      </c>
      <c r="C818" s="1">
        <f>IF(Param!$B$9=1,DbExcel!C818,DbWservice!C818)</f>
        <v>0</v>
      </c>
      <c r="D818" s="1">
        <f>IF(Param!$B$9=1,DbExcel!D818,DbWservice!D818)</f>
        <v>0</v>
      </c>
    </row>
    <row r="819" spans="1:4" x14ac:dyDescent="0.25">
      <c r="A819" s="1">
        <f>IF(Param!$B$9=1,DbExcel!A819,DbWservice!A819)</f>
        <v>0</v>
      </c>
      <c r="B819" s="1">
        <f>IF(Param!$B$9=1,DbExcel!B819,DbWservice!B819)</f>
        <v>0</v>
      </c>
      <c r="C819" s="1">
        <f>IF(Param!$B$9=1,DbExcel!C819,DbWservice!C819)</f>
        <v>0</v>
      </c>
      <c r="D819" s="1">
        <f>IF(Param!$B$9=1,DbExcel!D819,DbWservice!D819)</f>
        <v>0</v>
      </c>
    </row>
    <row r="820" spans="1:4" x14ac:dyDescent="0.25">
      <c r="A820" s="1">
        <f>IF(Param!$B$9=1,DbExcel!A820,DbWservice!A820)</f>
        <v>0</v>
      </c>
      <c r="B820" s="1">
        <f>IF(Param!$B$9=1,DbExcel!B820,DbWservice!B820)</f>
        <v>0</v>
      </c>
      <c r="C820" s="1">
        <f>IF(Param!$B$9=1,DbExcel!C820,DbWservice!C820)</f>
        <v>0</v>
      </c>
      <c r="D820" s="1">
        <f>IF(Param!$B$9=1,DbExcel!D820,DbWservice!D820)</f>
        <v>0</v>
      </c>
    </row>
    <row r="821" spans="1:4" x14ac:dyDescent="0.25">
      <c r="A821" s="1">
        <f>IF(Param!$B$9=1,DbExcel!A821,DbWservice!A821)</f>
        <v>0</v>
      </c>
      <c r="B821" s="1">
        <f>IF(Param!$B$9=1,DbExcel!B821,DbWservice!B821)</f>
        <v>0</v>
      </c>
      <c r="C821" s="1">
        <f>IF(Param!$B$9=1,DbExcel!C821,DbWservice!C821)</f>
        <v>0</v>
      </c>
      <c r="D821" s="1">
        <f>IF(Param!$B$9=1,DbExcel!D821,DbWservice!D821)</f>
        <v>0</v>
      </c>
    </row>
    <row r="822" spans="1:4" x14ac:dyDescent="0.25">
      <c r="A822" s="1">
        <f>IF(Param!$B$9=1,DbExcel!A822,DbWservice!A822)</f>
        <v>0</v>
      </c>
      <c r="B822" s="1">
        <f>IF(Param!$B$9=1,DbExcel!B822,DbWservice!B822)</f>
        <v>0</v>
      </c>
      <c r="C822" s="1">
        <f>IF(Param!$B$9=1,DbExcel!C822,DbWservice!C822)</f>
        <v>0</v>
      </c>
      <c r="D822" s="1">
        <f>IF(Param!$B$9=1,DbExcel!D822,DbWservice!D822)</f>
        <v>0</v>
      </c>
    </row>
    <row r="823" spans="1:4" x14ac:dyDescent="0.25">
      <c r="A823" s="1">
        <f>IF(Param!$B$9=1,DbExcel!A823,DbWservice!A823)</f>
        <v>0</v>
      </c>
      <c r="B823" s="1">
        <f>IF(Param!$B$9=1,DbExcel!B823,DbWservice!B823)</f>
        <v>0</v>
      </c>
      <c r="C823" s="1">
        <f>IF(Param!$B$9=1,DbExcel!C823,DbWservice!C823)</f>
        <v>0</v>
      </c>
      <c r="D823" s="1">
        <f>IF(Param!$B$9=1,DbExcel!D823,DbWservice!D823)</f>
        <v>0</v>
      </c>
    </row>
    <row r="824" spans="1:4" x14ac:dyDescent="0.25">
      <c r="A824" s="1">
        <f>IF(Param!$B$9=1,DbExcel!A824,DbWservice!A824)</f>
        <v>0</v>
      </c>
      <c r="B824" s="1">
        <f>IF(Param!$B$9=1,DbExcel!B824,DbWservice!B824)</f>
        <v>0</v>
      </c>
      <c r="C824" s="1">
        <f>IF(Param!$B$9=1,DbExcel!C824,DbWservice!C824)</f>
        <v>0</v>
      </c>
      <c r="D824" s="1">
        <f>IF(Param!$B$9=1,DbExcel!D824,DbWservice!D824)</f>
        <v>0</v>
      </c>
    </row>
    <row r="825" spans="1:4" x14ac:dyDescent="0.25">
      <c r="A825" s="1">
        <f>IF(Param!$B$9=1,DbExcel!A825,DbWservice!A825)</f>
        <v>0</v>
      </c>
      <c r="B825" s="1">
        <f>IF(Param!$B$9=1,DbExcel!B825,DbWservice!B825)</f>
        <v>0</v>
      </c>
      <c r="C825" s="1">
        <f>IF(Param!$B$9=1,DbExcel!C825,DbWservice!C825)</f>
        <v>0</v>
      </c>
      <c r="D825" s="1">
        <f>IF(Param!$B$9=1,DbExcel!D825,DbWservice!D825)</f>
        <v>0</v>
      </c>
    </row>
    <row r="826" spans="1:4" x14ac:dyDescent="0.25">
      <c r="A826" s="1">
        <f>IF(Param!$B$9=1,DbExcel!A826,DbWservice!A826)</f>
        <v>0</v>
      </c>
      <c r="B826" s="1">
        <f>IF(Param!$B$9=1,DbExcel!B826,DbWservice!B826)</f>
        <v>0</v>
      </c>
      <c r="C826" s="1">
        <f>IF(Param!$B$9=1,DbExcel!C826,DbWservice!C826)</f>
        <v>0</v>
      </c>
      <c r="D826" s="1">
        <f>IF(Param!$B$9=1,DbExcel!D826,DbWservice!D826)</f>
        <v>0</v>
      </c>
    </row>
    <row r="827" spans="1:4" x14ac:dyDescent="0.25">
      <c r="A827" s="1">
        <f>IF(Param!$B$9=1,DbExcel!A827,DbWservice!A827)</f>
        <v>0</v>
      </c>
      <c r="B827" s="1">
        <f>IF(Param!$B$9=1,DbExcel!B827,DbWservice!B827)</f>
        <v>0</v>
      </c>
      <c r="C827" s="1">
        <f>IF(Param!$B$9=1,DbExcel!C827,DbWservice!C827)</f>
        <v>0</v>
      </c>
      <c r="D827" s="1">
        <f>IF(Param!$B$9=1,DbExcel!D827,DbWservice!D827)</f>
        <v>0</v>
      </c>
    </row>
    <row r="828" spans="1:4" x14ac:dyDescent="0.25">
      <c r="A828" s="1">
        <f>IF(Param!$B$9=1,DbExcel!A828,DbWservice!A828)</f>
        <v>0</v>
      </c>
      <c r="B828" s="1">
        <f>IF(Param!$B$9=1,DbExcel!B828,DbWservice!B828)</f>
        <v>0</v>
      </c>
      <c r="C828" s="1">
        <f>IF(Param!$B$9=1,DbExcel!C828,DbWservice!C828)</f>
        <v>0</v>
      </c>
      <c r="D828" s="1">
        <f>IF(Param!$B$9=1,DbExcel!D828,DbWservice!D828)</f>
        <v>0</v>
      </c>
    </row>
    <row r="829" spans="1:4" x14ac:dyDescent="0.25">
      <c r="A829" s="1">
        <f>IF(Param!$B$9=1,DbExcel!A829,DbWservice!A829)</f>
        <v>0</v>
      </c>
      <c r="B829" s="1">
        <f>IF(Param!$B$9=1,DbExcel!B829,DbWservice!B829)</f>
        <v>0</v>
      </c>
      <c r="C829" s="1">
        <f>IF(Param!$B$9=1,DbExcel!C829,DbWservice!C829)</f>
        <v>0</v>
      </c>
      <c r="D829" s="1">
        <f>IF(Param!$B$9=1,DbExcel!D829,DbWservice!D829)</f>
        <v>0</v>
      </c>
    </row>
    <row r="830" spans="1:4" x14ac:dyDescent="0.25">
      <c r="A830" s="1">
        <f>IF(Param!$B$9=1,DbExcel!A830,DbWservice!A830)</f>
        <v>0</v>
      </c>
      <c r="B830" s="1">
        <f>IF(Param!$B$9=1,DbExcel!B830,DbWservice!B830)</f>
        <v>0</v>
      </c>
      <c r="C830" s="1">
        <f>IF(Param!$B$9=1,DbExcel!C830,DbWservice!C830)</f>
        <v>0</v>
      </c>
      <c r="D830" s="1">
        <f>IF(Param!$B$9=1,DbExcel!D830,DbWservice!D830)</f>
        <v>0</v>
      </c>
    </row>
    <row r="831" spans="1:4" x14ac:dyDescent="0.25">
      <c r="A831" s="1">
        <f>IF(Param!$B$9=1,DbExcel!A831,DbWservice!A831)</f>
        <v>0</v>
      </c>
      <c r="B831" s="1">
        <f>IF(Param!$B$9=1,DbExcel!B831,DbWservice!B831)</f>
        <v>0</v>
      </c>
      <c r="C831" s="1">
        <f>IF(Param!$B$9=1,DbExcel!C831,DbWservice!C831)</f>
        <v>0</v>
      </c>
      <c r="D831" s="1">
        <f>IF(Param!$B$9=1,DbExcel!D831,DbWservice!D831)</f>
        <v>0</v>
      </c>
    </row>
    <row r="832" spans="1:4" x14ac:dyDescent="0.25">
      <c r="A832" s="1">
        <f>IF(Param!$B$9=1,DbExcel!A832,DbWservice!A832)</f>
        <v>0</v>
      </c>
      <c r="B832" s="1">
        <f>IF(Param!$B$9=1,DbExcel!B832,DbWservice!B832)</f>
        <v>0</v>
      </c>
      <c r="C832" s="1">
        <f>IF(Param!$B$9=1,DbExcel!C832,DbWservice!C832)</f>
        <v>0</v>
      </c>
      <c r="D832" s="1">
        <f>IF(Param!$B$9=1,DbExcel!D832,DbWservice!D832)</f>
        <v>0</v>
      </c>
    </row>
    <row r="833" spans="1:4" x14ac:dyDescent="0.25">
      <c r="A833" s="1">
        <f>IF(Param!$B$9=1,DbExcel!A833,DbWservice!A833)</f>
        <v>0</v>
      </c>
      <c r="B833" s="1">
        <f>IF(Param!$B$9=1,DbExcel!B833,DbWservice!B833)</f>
        <v>0</v>
      </c>
      <c r="C833" s="1">
        <f>IF(Param!$B$9=1,DbExcel!C833,DbWservice!C833)</f>
        <v>0</v>
      </c>
      <c r="D833" s="1">
        <f>IF(Param!$B$9=1,DbExcel!D833,DbWservice!D833)</f>
        <v>0</v>
      </c>
    </row>
    <row r="834" spans="1:4" x14ac:dyDescent="0.25">
      <c r="A834" s="1">
        <f>IF(Param!$B$9=1,DbExcel!A834,DbWservice!A834)</f>
        <v>0</v>
      </c>
      <c r="B834" s="1">
        <f>IF(Param!$B$9=1,DbExcel!B834,DbWservice!B834)</f>
        <v>0</v>
      </c>
      <c r="C834" s="1">
        <f>IF(Param!$B$9=1,DbExcel!C834,DbWservice!C834)</f>
        <v>0</v>
      </c>
      <c r="D834" s="1">
        <f>IF(Param!$B$9=1,DbExcel!D834,DbWservice!D834)</f>
        <v>0</v>
      </c>
    </row>
    <row r="835" spans="1:4" x14ac:dyDescent="0.25">
      <c r="A835" s="1">
        <f>IF(Param!$B$9=1,DbExcel!A835,DbWservice!A835)</f>
        <v>0</v>
      </c>
      <c r="B835" s="1">
        <f>IF(Param!$B$9=1,DbExcel!B835,DbWservice!B835)</f>
        <v>0</v>
      </c>
      <c r="C835" s="1">
        <f>IF(Param!$B$9=1,DbExcel!C835,DbWservice!C835)</f>
        <v>0</v>
      </c>
      <c r="D835" s="1">
        <f>IF(Param!$B$9=1,DbExcel!D835,DbWservice!D835)</f>
        <v>0</v>
      </c>
    </row>
    <row r="836" spans="1:4" x14ac:dyDescent="0.25">
      <c r="A836" s="1">
        <f>IF(Param!$B$9=1,DbExcel!A836,DbWservice!A836)</f>
        <v>0</v>
      </c>
      <c r="B836" s="1">
        <f>IF(Param!$B$9=1,DbExcel!B836,DbWservice!B836)</f>
        <v>0</v>
      </c>
      <c r="C836" s="1">
        <f>IF(Param!$B$9=1,DbExcel!C836,DbWservice!C836)</f>
        <v>0</v>
      </c>
      <c r="D836" s="1">
        <f>IF(Param!$B$9=1,DbExcel!D836,DbWservice!D836)</f>
        <v>0</v>
      </c>
    </row>
    <row r="837" spans="1:4" x14ac:dyDescent="0.25">
      <c r="A837" s="1">
        <f>IF(Param!$B$9=1,DbExcel!A837,DbWservice!A837)</f>
        <v>0</v>
      </c>
      <c r="B837" s="1">
        <f>IF(Param!$B$9=1,DbExcel!B837,DbWservice!B837)</f>
        <v>0</v>
      </c>
      <c r="C837" s="1">
        <f>IF(Param!$B$9=1,DbExcel!C837,DbWservice!C837)</f>
        <v>0</v>
      </c>
      <c r="D837" s="1">
        <f>IF(Param!$B$9=1,DbExcel!D837,DbWservice!D837)</f>
        <v>0</v>
      </c>
    </row>
    <row r="838" spans="1:4" x14ac:dyDescent="0.25">
      <c r="A838" s="1">
        <f>IF(Param!$B$9=1,DbExcel!A838,DbWservice!A838)</f>
        <v>0</v>
      </c>
      <c r="B838" s="1">
        <f>IF(Param!$B$9=1,DbExcel!B838,DbWservice!B838)</f>
        <v>0</v>
      </c>
      <c r="C838" s="1">
        <f>IF(Param!$B$9=1,DbExcel!C838,DbWservice!C838)</f>
        <v>0</v>
      </c>
      <c r="D838" s="1">
        <f>IF(Param!$B$9=1,DbExcel!D838,DbWservice!D838)</f>
        <v>0</v>
      </c>
    </row>
    <row r="839" spans="1:4" x14ac:dyDescent="0.25">
      <c r="A839" s="1">
        <f>IF(Param!$B$9=1,DbExcel!A839,DbWservice!A839)</f>
        <v>0</v>
      </c>
      <c r="B839" s="1">
        <f>IF(Param!$B$9=1,DbExcel!B839,DbWservice!B839)</f>
        <v>0</v>
      </c>
      <c r="C839" s="1">
        <f>IF(Param!$B$9=1,DbExcel!C839,DbWservice!C839)</f>
        <v>0</v>
      </c>
      <c r="D839" s="1">
        <f>IF(Param!$B$9=1,DbExcel!D839,DbWservice!D839)</f>
        <v>0</v>
      </c>
    </row>
    <row r="840" spans="1:4" x14ac:dyDescent="0.25">
      <c r="A840" s="1">
        <f>IF(Param!$B$9=1,DbExcel!A840,DbWservice!A840)</f>
        <v>0</v>
      </c>
      <c r="B840" s="1">
        <f>IF(Param!$B$9=1,DbExcel!B840,DbWservice!B840)</f>
        <v>0</v>
      </c>
      <c r="C840" s="1">
        <f>IF(Param!$B$9=1,DbExcel!C840,DbWservice!C840)</f>
        <v>0</v>
      </c>
      <c r="D840" s="1">
        <f>IF(Param!$B$9=1,DbExcel!D840,DbWservice!D840)</f>
        <v>0</v>
      </c>
    </row>
    <row r="841" spans="1:4" x14ac:dyDescent="0.25">
      <c r="A841" s="1">
        <f>IF(Param!$B$9=1,DbExcel!A841,DbWservice!A841)</f>
        <v>0</v>
      </c>
      <c r="B841" s="1">
        <f>IF(Param!$B$9=1,DbExcel!B841,DbWservice!B841)</f>
        <v>0</v>
      </c>
      <c r="C841" s="1">
        <f>IF(Param!$B$9=1,DbExcel!C841,DbWservice!C841)</f>
        <v>0</v>
      </c>
      <c r="D841" s="1">
        <f>IF(Param!$B$9=1,DbExcel!D841,DbWservice!D841)</f>
        <v>0</v>
      </c>
    </row>
    <row r="842" spans="1:4" x14ac:dyDescent="0.25">
      <c r="A842" s="1">
        <f>IF(Param!$B$9=1,DbExcel!A842,DbWservice!A842)</f>
        <v>0</v>
      </c>
      <c r="B842" s="1">
        <f>IF(Param!$B$9=1,DbExcel!B842,DbWservice!B842)</f>
        <v>0</v>
      </c>
      <c r="C842" s="1">
        <f>IF(Param!$B$9=1,DbExcel!C842,DbWservice!C842)</f>
        <v>0</v>
      </c>
      <c r="D842" s="1">
        <f>IF(Param!$B$9=1,DbExcel!D842,DbWservice!D842)</f>
        <v>0</v>
      </c>
    </row>
    <row r="843" spans="1:4" x14ac:dyDescent="0.25">
      <c r="A843" s="1">
        <f>IF(Param!$B$9=1,DbExcel!A843,DbWservice!A843)</f>
        <v>0</v>
      </c>
      <c r="B843" s="1">
        <f>IF(Param!$B$9=1,DbExcel!B843,DbWservice!B843)</f>
        <v>0</v>
      </c>
      <c r="C843" s="1">
        <f>IF(Param!$B$9=1,DbExcel!C843,DbWservice!C843)</f>
        <v>0</v>
      </c>
      <c r="D843" s="1">
        <f>IF(Param!$B$9=1,DbExcel!D843,DbWservice!D843)</f>
        <v>0</v>
      </c>
    </row>
    <row r="844" spans="1:4" x14ac:dyDescent="0.25">
      <c r="A844" s="1">
        <f>IF(Param!$B$9=1,DbExcel!A844,DbWservice!A844)</f>
        <v>0</v>
      </c>
      <c r="B844" s="1">
        <f>IF(Param!$B$9=1,DbExcel!B844,DbWservice!B844)</f>
        <v>0</v>
      </c>
      <c r="C844" s="1">
        <f>IF(Param!$B$9=1,DbExcel!C844,DbWservice!C844)</f>
        <v>0</v>
      </c>
      <c r="D844" s="1">
        <f>IF(Param!$B$9=1,DbExcel!D844,DbWservice!D844)</f>
        <v>0</v>
      </c>
    </row>
    <row r="845" spans="1:4" x14ac:dyDescent="0.25">
      <c r="A845" s="1">
        <f>IF(Param!$B$9=1,DbExcel!A845,DbWservice!A845)</f>
        <v>0</v>
      </c>
      <c r="B845" s="1">
        <f>IF(Param!$B$9=1,DbExcel!B845,DbWservice!B845)</f>
        <v>0</v>
      </c>
      <c r="C845" s="1">
        <f>IF(Param!$B$9=1,DbExcel!C845,DbWservice!C845)</f>
        <v>0</v>
      </c>
      <c r="D845" s="1">
        <f>IF(Param!$B$9=1,DbExcel!D845,DbWservice!D845)</f>
        <v>0</v>
      </c>
    </row>
    <row r="846" spans="1:4" x14ac:dyDescent="0.25">
      <c r="A846" s="1">
        <f>IF(Param!$B$9=1,DbExcel!A846,DbWservice!A846)</f>
        <v>0</v>
      </c>
      <c r="B846" s="1">
        <f>IF(Param!$B$9=1,DbExcel!B846,DbWservice!B846)</f>
        <v>0</v>
      </c>
      <c r="C846" s="1">
        <f>IF(Param!$B$9=1,DbExcel!C846,DbWservice!C846)</f>
        <v>0</v>
      </c>
      <c r="D846" s="1">
        <f>IF(Param!$B$9=1,DbExcel!D846,DbWservice!D846)</f>
        <v>0</v>
      </c>
    </row>
    <row r="847" spans="1:4" x14ac:dyDescent="0.25">
      <c r="A847" s="1">
        <f>IF(Param!$B$9=1,DbExcel!A847,DbWservice!A847)</f>
        <v>0</v>
      </c>
      <c r="B847" s="1">
        <f>IF(Param!$B$9=1,DbExcel!B847,DbWservice!B847)</f>
        <v>0</v>
      </c>
      <c r="C847" s="1">
        <f>IF(Param!$B$9=1,DbExcel!C847,DbWservice!C847)</f>
        <v>0</v>
      </c>
      <c r="D847" s="1">
        <f>IF(Param!$B$9=1,DbExcel!D847,DbWservice!D847)</f>
        <v>0</v>
      </c>
    </row>
    <row r="848" spans="1:4" x14ac:dyDescent="0.25">
      <c r="A848" s="1">
        <f>IF(Param!$B$9=1,DbExcel!A848,DbWservice!A848)</f>
        <v>0</v>
      </c>
      <c r="B848" s="1">
        <f>IF(Param!$B$9=1,DbExcel!B848,DbWservice!B848)</f>
        <v>0</v>
      </c>
      <c r="C848" s="1">
        <f>IF(Param!$B$9=1,DbExcel!C848,DbWservice!C848)</f>
        <v>0</v>
      </c>
      <c r="D848" s="1">
        <f>IF(Param!$B$9=1,DbExcel!D848,DbWservice!D848)</f>
        <v>0</v>
      </c>
    </row>
    <row r="849" spans="1:4" x14ac:dyDescent="0.25">
      <c r="A849" s="1">
        <f>IF(Param!$B$9=1,DbExcel!A849,DbWservice!A849)</f>
        <v>0</v>
      </c>
      <c r="B849" s="1">
        <f>IF(Param!$B$9=1,DbExcel!B849,DbWservice!B849)</f>
        <v>0</v>
      </c>
      <c r="C849" s="1">
        <f>IF(Param!$B$9=1,DbExcel!C849,DbWservice!C849)</f>
        <v>0</v>
      </c>
      <c r="D849" s="1">
        <f>IF(Param!$B$9=1,DbExcel!D849,DbWservice!D849)</f>
        <v>0</v>
      </c>
    </row>
    <row r="850" spans="1:4" x14ac:dyDescent="0.25">
      <c r="A850" s="1">
        <f>IF(Param!$B$9=1,DbExcel!A850,DbWservice!A850)</f>
        <v>0</v>
      </c>
      <c r="B850" s="1">
        <f>IF(Param!$B$9=1,DbExcel!B850,DbWservice!B850)</f>
        <v>0</v>
      </c>
      <c r="C850" s="1">
        <f>IF(Param!$B$9=1,DbExcel!C850,DbWservice!C850)</f>
        <v>0</v>
      </c>
      <c r="D850" s="1">
        <f>IF(Param!$B$9=1,DbExcel!D850,DbWservice!D850)</f>
        <v>0</v>
      </c>
    </row>
    <row r="851" spans="1:4" x14ac:dyDescent="0.25">
      <c r="A851" s="1">
        <f>IF(Param!$B$9=1,DbExcel!A851,DbWservice!A851)</f>
        <v>0</v>
      </c>
      <c r="B851" s="1">
        <f>IF(Param!$B$9=1,DbExcel!B851,DbWservice!B851)</f>
        <v>0</v>
      </c>
      <c r="C851" s="1">
        <f>IF(Param!$B$9=1,DbExcel!C851,DbWservice!C851)</f>
        <v>0</v>
      </c>
      <c r="D851" s="1">
        <f>IF(Param!$B$9=1,DbExcel!D851,DbWservice!D851)</f>
        <v>0</v>
      </c>
    </row>
    <row r="852" spans="1:4" x14ac:dyDescent="0.25">
      <c r="A852" s="1">
        <f>IF(Param!$B$9=1,DbExcel!A852,DbWservice!A852)</f>
        <v>0</v>
      </c>
      <c r="B852" s="1">
        <f>IF(Param!$B$9=1,DbExcel!B852,DbWservice!B852)</f>
        <v>0</v>
      </c>
      <c r="C852" s="1">
        <f>IF(Param!$B$9=1,DbExcel!C852,DbWservice!C852)</f>
        <v>0</v>
      </c>
      <c r="D852" s="1">
        <f>IF(Param!$B$9=1,DbExcel!D852,DbWservice!D852)</f>
        <v>0</v>
      </c>
    </row>
    <row r="853" spans="1:4" x14ac:dyDescent="0.25">
      <c r="A853" s="1">
        <f>IF(Param!$B$9=1,DbExcel!A853,DbWservice!A853)</f>
        <v>0</v>
      </c>
      <c r="B853" s="1">
        <f>IF(Param!$B$9=1,DbExcel!B853,DbWservice!B853)</f>
        <v>0</v>
      </c>
      <c r="C853" s="1">
        <f>IF(Param!$B$9=1,DbExcel!C853,DbWservice!C853)</f>
        <v>0</v>
      </c>
      <c r="D853" s="1">
        <f>IF(Param!$B$9=1,DbExcel!D853,DbWservice!D853)</f>
        <v>0</v>
      </c>
    </row>
    <row r="854" spans="1:4" x14ac:dyDescent="0.25">
      <c r="A854" s="1">
        <f>IF(Param!$B$9=1,DbExcel!A854,DbWservice!A854)</f>
        <v>0</v>
      </c>
      <c r="B854" s="1">
        <f>IF(Param!$B$9=1,DbExcel!B854,DbWservice!B854)</f>
        <v>0</v>
      </c>
      <c r="C854" s="1">
        <f>IF(Param!$B$9=1,DbExcel!C854,DbWservice!C854)</f>
        <v>0</v>
      </c>
      <c r="D854" s="1">
        <f>IF(Param!$B$9=1,DbExcel!D854,DbWservice!D854)</f>
        <v>0</v>
      </c>
    </row>
    <row r="855" spans="1:4" x14ac:dyDescent="0.25">
      <c r="A855" s="1">
        <f>IF(Param!$B$9=1,DbExcel!A855,DbWservice!A855)</f>
        <v>0</v>
      </c>
      <c r="B855" s="1">
        <f>IF(Param!$B$9=1,DbExcel!B855,DbWservice!B855)</f>
        <v>0</v>
      </c>
      <c r="C855" s="1">
        <f>IF(Param!$B$9=1,DbExcel!C855,DbWservice!C855)</f>
        <v>0</v>
      </c>
      <c r="D855" s="1">
        <f>IF(Param!$B$9=1,DbExcel!D855,DbWservice!D855)</f>
        <v>0</v>
      </c>
    </row>
    <row r="856" spans="1:4" x14ac:dyDescent="0.25">
      <c r="A856" s="1">
        <f>IF(Param!$B$9=1,DbExcel!A856,DbWservice!A856)</f>
        <v>0</v>
      </c>
      <c r="B856" s="1">
        <f>IF(Param!$B$9=1,DbExcel!B856,DbWservice!B856)</f>
        <v>0</v>
      </c>
      <c r="C856" s="1">
        <f>IF(Param!$B$9=1,DbExcel!C856,DbWservice!C856)</f>
        <v>0</v>
      </c>
      <c r="D856" s="1">
        <f>IF(Param!$B$9=1,DbExcel!D856,DbWservice!D856)</f>
        <v>0</v>
      </c>
    </row>
    <row r="857" spans="1:4" x14ac:dyDescent="0.25">
      <c r="A857" s="1">
        <f>IF(Param!$B$9=1,DbExcel!A857,DbWservice!A857)</f>
        <v>0</v>
      </c>
      <c r="B857" s="1">
        <f>IF(Param!$B$9=1,DbExcel!B857,DbWservice!B857)</f>
        <v>0</v>
      </c>
      <c r="C857" s="1">
        <f>IF(Param!$B$9=1,DbExcel!C857,DbWservice!C857)</f>
        <v>0</v>
      </c>
      <c r="D857" s="1">
        <f>IF(Param!$B$9=1,DbExcel!D857,DbWservice!D857)</f>
        <v>0</v>
      </c>
    </row>
    <row r="858" spans="1:4" x14ac:dyDescent="0.25">
      <c r="A858" s="1">
        <f>IF(Param!$B$9=1,DbExcel!A858,DbWservice!A858)</f>
        <v>0</v>
      </c>
      <c r="B858" s="1">
        <f>IF(Param!$B$9=1,DbExcel!B858,DbWservice!B858)</f>
        <v>0</v>
      </c>
      <c r="C858" s="1">
        <f>IF(Param!$B$9=1,DbExcel!C858,DbWservice!C858)</f>
        <v>0</v>
      </c>
      <c r="D858" s="1">
        <f>IF(Param!$B$9=1,DbExcel!D858,DbWservice!D858)</f>
        <v>0</v>
      </c>
    </row>
    <row r="859" spans="1:4" x14ac:dyDescent="0.25">
      <c r="A859" s="1">
        <f>IF(Param!$B$9=1,DbExcel!A859,DbWservice!A859)</f>
        <v>0</v>
      </c>
      <c r="B859" s="1">
        <f>IF(Param!$B$9=1,DbExcel!B859,DbWservice!B859)</f>
        <v>0</v>
      </c>
      <c r="C859" s="1">
        <f>IF(Param!$B$9=1,DbExcel!C859,DbWservice!C859)</f>
        <v>0</v>
      </c>
      <c r="D859" s="1">
        <f>IF(Param!$B$9=1,DbExcel!D859,DbWservice!D859)</f>
        <v>0</v>
      </c>
    </row>
    <row r="860" spans="1:4" x14ac:dyDescent="0.25">
      <c r="A860" s="1">
        <f>IF(Param!$B$9=1,DbExcel!A860,DbWservice!A860)</f>
        <v>0</v>
      </c>
      <c r="B860" s="1">
        <f>IF(Param!$B$9=1,DbExcel!B860,DbWservice!B860)</f>
        <v>0</v>
      </c>
      <c r="C860" s="1">
        <f>IF(Param!$B$9=1,DbExcel!C860,DbWservice!C860)</f>
        <v>0</v>
      </c>
      <c r="D860" s="1">
        <f>IF(Param!$B$9=1,DbExcel!D860,DbWservice!D860)</f>
        <v>0</v>
      </c>
    </row>
    <row r="861" spans="1:4" x14ac:dyDescent="0.25">
      <c r="A861" s="1">
        <f>IF(Param!$B$9=1,DbExcel!A861,DbWservice!A861)</f>
        <v>0</v>
      </c>
      <c r="B861" s="1">
        <f>IF(Param!$B$9=1,DbExcel!B861,DbWservice!B861)</f>
        <v>0</v>
      </c>
      <c r="C861" s="1">
        <f>IF(Param!$B$9=1,DbExcel!C861,DbWservice!C861)</f>
        <v>0</v>
      </c>
      <c r="D861" s="1">
        <f>IF(Param!$B$9=1,DbExcel!D861,DbWservice!D861)</f>
        <v>0</v>
      </c>
    </row>
    <row r="862" spans="1:4" x14ac:dyDescent="0.25">
      <c r="A862" s="1">
        <f>IF(Param!$B$9=1,DbExcel!A862,DbWservice!A862)</f>
        <v>0</v>
      </c>
      <c r="B862" s="1">
        <f>IF(Param!$B$9=1,DbExcel!B862,DbWservice!B862)</f>
        <v>0</v>
      </c>
      <c r="C862" s="1">
        <f>IF(Param!$B$9=1,DbExcel!C862,DbWservice!C862)</f>
        <v>0</v>
      </c>
      <c r="D862" s="1">
        <f>IF(Param!$B$9=1,DbExcel!D862,DbWservice!D862)</f>
        <v>0</v>
      </c>
    </row>
    <row r="863" spans="1:4" x14ac:dyDescent="0.25">
      <c r="A863" s="1">
        <f>IF(Param!$B$9=1,DbExcel!A863,DbWservice!A863)</f>
        <v>0</v>
      </c>
      <c r="B863" s="1">
        <f>IF(Param!$B$9=1,DbExcel!B863,DbWservice!B863)</f>
        <v>0</v>
      </c>
      <c r="C863" s="1">
        <f>IF(Param!$B$9=1,DbExcel!C863,DbWservice!C863)</f>
        <v>0</v>
      </c>
      <c r="D863" s="1">
        <f>IF(Param!$B$9=1,DbExcel!D863,DbWservice!D863)</f>
        <v>0</v>
      </c>
    </row>
    <row r="864" spans="1:4" x14ac:dyDescent="0.25">
      <c r="A864" s="1">
        <f>IF(Param!$B$9=1,DbExcel!A864,DbWservice!A864)</f>
        <v>0</v>
      </c>
      <c r="B864" s="1">
        <f>IF(Param!$B$9=1,DbExcel!B864,DbWservice!B864)</f>
        <v>0</v>
      </c>
      <c r="C864" s="1">
        <f>IF(Param!$B$9=1,DbExcel!C864,DbWservice!C864)</f>
        <v>0</v>
      </c>
      <c r="D864" s="1">
        <f>IF(Param!$B$9=1,DbExcel!D864,DbWservice!D864)</f>
        <v>0</v>
      </c>
    </row>
    <row r="865" spans="1:4" x14ac:dyDescent="0.25">
      <c r="A865" s="1">
        <f>IF(Param!$B$9=1,DbExcel!A865,DbWservice!A865)</f>
        <v>0</v>
      </c>
      <c r="B865" s="1">
        <f>IF(Param!$B$9=1,DbExcel!B865,DbWservice!B865)</f>
        <v>0</v>
      </c>
      <c r="C865" s="1">
        <f>IF(Param!$B$9=1,DbExcel!C865,DbWservice!C865)</f>
        <v>0</v>
      </c>
      <c r="D865" s="1">
        <f>IF(Param!$B$9=1,DbExcel!D865,DbWservice!D865)</f>
        <v>0</v>
      </c>
    </row>
    <row r="866" spans="1:4" x14ac:dyDescent="0.25">
      <c r="A866" s="1">
        <f>IF(Param!$B$9=1,DbExcel!A866,DbWservice!A866)</f>
        <v>0</v>
      </c>
      <c r="B866" s="1">
        <f>IF(Param!$B$9=1,DbExcel!B866,DbWservice!B866)</f>
        <v>0</v>
      </c>
      <c r="C866" s="1">
        <f>IF(Param!$B$9=1,DbExcel!C866,DbWservice!C866)</f>
        <v>0</v>
      </c>
      <c r="D866" s="1">
        <f>IF(Param!$B$9=1,DbExcel!D866,DbWservice!D866)</f>
        <v>0</v>
      </c>
    </row>
    <row r="867" spans="1:4" x14ac:dyDescent="0.25">
      <c r="A867" s="1">
        <f>IF(Param!$B$9=1,DbExcel!A867,DbWservice!A867)</f>
        <v>0</v>
      </c>
      <c r="B867" s="1">
        <f>IF(Param!$B$9=1,DbExcel!B867,DbWservice!B867)</f>
        <v>0</v>
      </c>
      <c r="C867" s="1">
        <f>IF(Param!$B$9=1,DbExcel!C867,DbWservice!C867)</f>
        <v>0</v>
      </c>
      <c r="D867" s="1">
        <f>IF(Param!$B$9=1,DbExcel!D867,DbWservice!D867)</f>
        <v>0</v>
      </c>
    </row>
    <row r="868" spans="1:4" x14ac:dyDescent="0.25">
      <c r="A868" s="1">
        <f>IF(Param!$B$9=1,DbExcel!A868,DbWservice!A868)</f>
        <v>0</v>
      </c>
      <c r="B868" s="1">
        <f>IF(Param!$B$9=1,DbExcel!B868,DbWservice!B868)</f>
        <v>0</v>
      </c>
      <c r="C868" s="1">
        <f>IF(Param!$B$9=1,DbExcel!C868,DbWservice!C868)</f>
        <v>0</v>
      </c>
      <c r="D868" s="1">
        <f>IF(Param!$B$9=1,DbExcel!D868,DbWservice!D868)</f>
        <v>0</v>
      </c>
    </row>
    <row r="869" spans="1:4" x14ac:dyDescent="0.25">
      <c r="A869" s="1">
        <f>IF(Param!$B$9=1,DbExcel!A869,DbWservice!A869)</f>
        <v>0</v>
      </c>
      <c r="B869" s="1">
        <f>IF(Param!$B$9=1,DbExcel!B869,DbWservice!B869)</f>
        <v>0</v>
      </c>
      <c r="C869" s="1">
        <f>IF(Param!$B$9=1,DbExcel!C869,DbWservice!C869)</f>
        <v>0</v>
      </c>
      <c r="D869" s="1">
        <f>IF(Param!$B$9=1,DbExcel!D869,DbWservice!D869)</f>
        <v>0</v>
      </c>
    </row>
    <row r="870" spans="1:4" x14ac:dyDescent="0.25">
      <c r="A870" s="1">
        <f>IF(Param!$B$9=1,DbExcel!A870,DbWservice!A870)</f>
        <v>0</v>
      </c>
      <c r="B870" s="1">
        <f>IF(Param!$B$9=1,DbExcel!B870,DbWservice!B870)</f>
        <v>0</v>
      </c>
      <c r="C870" s="1">
        <f>IF(Param!$B$9=1,DbExcel!C870,DbWservice!C870)</f>
        <v>0</v>
      </c>
      <c r="D870" s="1">
        <f>IF(Param!$B$9=1,DbExcel!D870,DbWservice!D870)</f>
        <v>0</v>
      </c>
    </row>
    <row r="871" spans="1:4" x14ac:dyDescent="0.25">
      <c r="A871" s="1">
        <f>IF(Param!$B$9=1,DbExcel!A871,DbWservice!A871)</f>
        <v>0</v>
      </c>
      <c r="B871" s="1">
        <f>IF(Param!$B$9=1,DbExcel!B871,DbWservice!B871)</f>
        <v>0</v>
      </c>
      <c r="C871" s="1">
        <f>IF(Param!$B$9=1,DbExcel!C871,DbWservice!C871)</f>
        <v>0</v>
      </c>
      <c r="D871" s="1">
        <f>IF(Param!$B$9=1,DbExcel!D871,DbWservice!D871)</f>
        <v>0</v>
      </c>
    </row>
    <row r="872" spans="1:4" x14ac:dyDescent="0.25">
      <c r="A872" s="1">
        <f>IF(Param!$B$9=1,DbExcel!A872,DbWservice!A872)</f>
        <v>0</v>
      </c>
      <c r="B872" s="1">
        <f>IF(Param!$B$9=1,DbExcel!B872,DbWservice!B872)</f>
        <v>0</v>
      </c>
      <c r="C872" s="1">
        <f>IF(Param!$B$9=1,DbExcel!C872,DbWservice!C872)</f>
        <v>0</v>
      </c>
      <c r="D872" s="1">
        <f>IF(Param!$B$9=1,DbExcel!D872,DbWservice!D872)</f>
        <v>0</v>
      </c>
    </row>
    <row r="873" spans="1:4" x14ac:dyDescent="0.25">
      <c r="A873" s="1">
        <f>IF(Param!$B$9=1,DbExcel!A873,DbWservice!A873)</f>
        <v>0</v>
      </c>
      <c r="B873" s="1">
        <f>IF(Param!$B$9=1,DbExcel!B873,DbWservice!B873)</f>
        <v>0</v>
      </c>
      <c r="C873" s="1">
        <f>IF(Param!$B$9=1,DbExcel!C873,DbWservice!C873)</f>
        <v>0</v>
      </c>
      <c r="D873" s="1">
        <f>IF(Param!$B$9=1,DbExcel!D873,DbWservice!D873)</f>
        <v>0</v>
      </c>
    </row>
    <row r="874" spans="1:4" x14ac:dyDescent="0.25">
      <c r="A874" s="1">
        <f>IF(Param!$B$9=1,DbExcel!A874,DbWservice!A874)</f>
        <v>0</v>
      </c>
      <c r="B874" s="1">
        <f>IF(Param!$B$9=1,DbExcel!B874,DbWservice!B874)</f>
        <v>0</v>
      </c>
      <c r="C874" s="1">
        <f>IF(Param!$B$9=1,DbExcel!C874,DbWservice!C874)</f>
        <v>0</v>
      </c>
      <c r="D874" s="1">
        <f>IF(Param!$B$9=1,DbExcel!D874,DbWservice!D874)</f>
        <v>0</v>
      </c>
    </row>
    <row r="875" spans="1:4" x14ac:dyDescent="0.25">
      <c r="A875" s="1">
        <f>IF(Param!$B$9=1,DbExcel!A875,DbWservice!A875)</f>
        <v>0</v>
      </c>
      <c r="B875" s="1">
        <f>IF(Param!$B$9=1,DbExcel!B875,DbWservice!B875)</f>
        <v>0</v>
      </c>
      <c r="C875" s="1">
        <f>IF(Param!$B$9=1,DbExcel!C875,DbWservice!C875)</f>
        <v>0</v>
      </c>
      <c r="D875" s="1">
        <f>IF(Param!$B$9=1,DbExcel!D875,DbWservice!D875)</f>
        <v>0</v>
      </c>
    </row>
    <row r="876" spans="1:4" x14ac:dyDescent="0.25">
      <c r="A876" s="1">
        <f>IF(Param!$B$9=1,DbExcel!A876,DbWservice!A876)</f>
        <v>0</v>
      </c>
      <c r="B876" s="1">
        <f>IF(Param!$B$9=1,DbExcel!B876,DbWservice!B876)</f>
        <v>0</v>
      </c>
      <c r="C876" s="1">
        <f>IF(Param!$B$9=1,DbExcel!C876,DbWservice!C876)</f>
        <v>0</v>
      </c>
      <c r="D876" s="1">
        <f>IF(Param!$B$9=1,DbExcel!D876,DbWservice!D876)</f>
        <v>0</v>
      </c>
    </row>
    <row r="877" spans="1:4" x14ac:dyDescent="0.25">
      <c r="A877" s="1">
        <f>IF(Param!$B$9=1,DbExcel!A877,DbWservice!A877)</f>
        <v>0</v>
      </c>
      <c r="B877" s="1">
        <f>IF(Param!$B$9=1,DbExcel!B877,DbWservice!B877)</f>
        <v>0</v>
      </c>
      <c r="C877" s="1">
        <f>IF(Param!$B$9=1,DbExcel!C877,DbWservice!C877)</f>
        <v>0</v>
      </c>
      <c r="D877" s="1">
        <f>IF(Param!$B$9=1,DbExcel!D877,DbWservice!D877)</f>
        <v>0</v>
      </c>
    </row>
    <row r="878" spans="1:4" x14ac:dyDescent="0.25">
      <c r="A878" s="1">
        <f>IF(Param!$B$9=1,DbExcel!A878,DbWservice!A878)</f>
        <v>0</v>
      </c>
      <c r="B878" s="1">
        <f>IF(Param!$B$9=1,DbExcel!B878,DbWservice!B878)</f>
        <v>0</v>
      </c>
      <c r="C878" s="1">
        <f>IF(Param!$B$9=1,DbExcel!C878,DbWservice!C878)</f>
        <v>0</v>
      </c>
      <c r="D878" s="1">
        <f>IF(Param!$B$9=1,DbExcel!D878,DbWservice!D878)</f>
        <v>0</v>
      </c>
    </row>
    <row r="879" spans="1:4" x14ac:dyDescent="0.25">
      <c r="A879" s="1">
        <f>IF(Param!$B$9=1,DbExcel!A879,DbWservice!A879)</f>
        <v>0</v>
      </c>
      <c r="B879" s="1">
        <f>IF(Param!$B$9=1,DbExcel!B879,DbWservice!B879)</f>
        <v>0</v>
      </c>
      <c r="C879" s="1">
        <f>IF(Param!$B$9=1,DbExcel!C879,DbWservice!C879)</f>
        <v>0</v>
      </c>
      <c r="D879" s="1">
        <f>IF(Param!$B$9=1,DbExcel!D879,DbWservice!D879)</f>
        <v>0</v>
      </c>
    </row>
    <row r="880" spans="1:4" x14ac:dyDescent="0.25">
      <c r="A880" s="1">
        <f>IF(Param!$B$9=1,DbExcel!A880,DbWservice!A880)</f>
        <v>0</v>
      </c>
      <c r="B880" s="1">
        <f>IF(Param!$B$9=1,DbExcel!B880,DbWservice!B880)</f>
        <v>0</v>
      </c>
      <c r="C880" s="1">
        <f>IF(Param!$B$9=1,DbExcel!C880,DbWservice!C880)</f>
        <v>0</v>
      </c>
      <c r="D880" s="1">
        <f>IF(Param!$B$9=1,DbExcel!D880,DbWservice!D880)</f>
        <v>0</v>
      </c>
    </row>
    <row r="881" spans="1:4" x14ac:dyDescent="0.25">
      <c r="A881" s="1">
        <f>IF(Param!$B$9=1,DbExcel!A881,DbWservice!A881)</f>
        <v>0</v>
      </c>
      <c r="B881" s="1">
        <f>IF(Param!$B$9=1,DbExcel!B881,DbWservice!B881)</f>
        <v>0</v>
      </c>
      <c r="C881" s="1">
        <f>IF(Param!$B$9=1,DbExcel!C881,DbWservice!C881)</f>
        <v>0</v>
      </c>
      <c r="D881" s="1">
        <f>IF(Param!$B$9=1,DbExcel!D881,DbWservice!D881)</f>
        <v>0</v>
      </c>
    </row>
    <row r="882" spans="1:4" x14ac:dyDescent="0.25">
      <c r="A882" s="1">
        <f>IF(Param!$B$9=1,DbExcel!A882,DbWservice!A882)</f>
        <v>0</v>
      </c>
      <c r="B882" s="1">
        <f>IF(Param!$B$9=1,DbExcel!B882,DbWservice!B882)</f>
        <v>0</v>
      </c>
      <c r="C882" s="1">
        <f>IF(Param!$B$9=1,DbExcel!C882,DbWservice!C882)</f>
        <v>0</v>
      </c>
      <c r="D882" s="1">
        <f>IF(Param!$B$9=1,DbExcel!D882,DbWservice!D882)</f>
        <v>0</v>
      </c>
    </row>
    <row r="883" spans="1:4" x14ac:dyDescent="0.25">
      <c r="A883" s="1">
        <f>IF(Param!$B$9=1,DbExcel!A883,DbWservice!A883)</f>
        <v>0</v>
      </c>
      <c r="B883" s="1">
        <f>IF(Param!$B$9=1,DbExcel!B883,DbWservice!B883)</f>
        <v>0</v>
      </c>
      <c r="C883" s="1">
        <f>IF(Param!$B$9=1,DbExcel!C883,DbWservice!C883)</f>
        <v>0</v>
      </c>
      <c r="D883" s="1">
        <f>IF(Param!$B$9=1,DbExcel!D883,DbWservice!D883)</f>
        <v>0</v>
      </c>
    </row>
    <row r="884" spans="1:4" x14ac:dyDescent="0.25">
      <c r="A884" s="1">
        <f>IF(Param!$B$9=1,DbExcel!A884,DbWservice!A884)</f>
        <v>0</v>
      </c>
      <c r="B884" s="1">
        <f>IF(Param!$B$9=1,DbExcel!B884,DbWservice!B884)</f>
        <v>0</v>
      </c>
      <c r="C884" s="1">
        <f>IF(Param!$B$9=1,DbExcel!C884,DbWservice!C884)</f>
        <v>0</v>
      </c>
      <c r="D884" s="1">
        <f>IF(Param!$B$9=1,DbExcel!D884,DbWservice!D884)</f>
        <v>0</v>
      </c>
    </row>
    <row r="885" spans="1:4" x14ac:dyDescent="0.25">
      <c r="A885" s="1">
        <f>IF(Param!$B$9=1,DbExcel!A885,DbWservice!A885)</f>
        <v>0</v>
      </c>
      <c r="B885" s="1">
        <f>IF(Param!$B$9=1,DbExcel!B885,DbWservice!B885)</f>
        <v>0</v>
      </c>
      <c r="C885" s="1">
        <f>IF(Param!$B$9=1,DbExcel!C885,DbWservice!C885)</f>
        <v>0</v>
      </c>
      <c r="D885" s="1">
        <f>IF(Param!$B$9=1,DbExcel!D885,DbWservice!D885)</f>
        <v>0</v>
      </c>
    </row>
    <row r="886" spans="1:4" x14ac:dyDescent="0.25">
      <c r="A886" s="1">
        <f>IF(Param!$B$9=1,DbExcel!A886,DbWservice!A886)</f>
        <v>0</v>
      </c>
      <c r="B886" s="1">
        <f>IF(Param!$B$9=1,DbExcel!B886,DbWservice!B886)</f>
        <v>0</v>
      </c>
      <c r="C886" s="1">
        <f>IF(Param!$B$9=1,DbExcel!C886,DbWservice!C886)</f>
        <v>0</v>
      </c>
      <c r="D886" s="1">
        <f>IF(Param!$B$9=1,DbExcel!D886,DbWservice!D886)</f>
        <v>0</v>
      </c>
    </row>
    <row r="887" spans="1:4" x14ac:dyDescent="0.25">
      <c r="A887" s="1">
        <f>IF(Param!$B$9=1,DbExcel!A887,DbWservice!A887)</f>
        <v>0</v>
      </c>
      <c r="B887" s="1">
        <f>IF(Param!$B$9=1,DbExcel!B887,DbWservice!B887)</f>
        <v>0</v>
      </c>
      <c r="C887" s="1">
        <f>IF(Param!$B$9=1,DbExcel!C887,DbWservice!C887)</f>
        <v>0</v>
      </c>
      <c r="D887" s="1">
        <f>IF(Param!$B$9=1,DbExcel!D887,DbWservice!D887)</f>
        <v>0</v>
      </c>
    </row>
    <row r="888" spans="1:4" x14ac:dyDescent="0.25">
      <c r="A888" s="1">
        <f>IF(Param!$B$9=1,DbExcel!A888,DbWservice!A888)</f>
        <v>0</v>
      </c>
      <c r="B888" s="1">
        <f>IF(Param!$B$9=1,DbExcel!B888,DbWservice!B888)</f>
        <v>0</v>
      </c>
      <c r="C888" s="1">
        <f>IF(Param!$B$9=1,DbExcel!C888,DbWservice!C888)</f>
        <v>0</v>
      </c>
      <c r="D888" s="1">
        <f>IF(Param!$B$9=1,DbExcel!D888,DbWservice!D888)</f>
        <v>0</v>
      </c>
    </row>
    <row r="889" spans="1:4" x14ac:dyDescent="0.25">
      <c r="A889" s="1">
        <f>IF(Param!$B$9=1,DbExcel!A889,DbWservice!A889)</f>
        <v>0</v>
      </c>
      <c r="B889" s="1">
        <f>IF(Param!$B$9=1,DbExcel!B889,DbWservice!B889)</f>
        <v>0</v>
      </c>
      <c r="C889" s="1">
        <f>IF(Param!$B$9=1,DbExcel!C889,DbWservice!C889)</f>
        <v>0</v>
      </c>
      <c r="D889" s="1">
        <f>IF(Param!$B$9=1,DbExcel!D889,DbWservice!D889)</f>
        <v>0</v>
      </c>
    </row>
    <row r="890" spans="1:4" x14ac:dyDescent="0.25">
      <c r="A890" s="1">
        <f>IF(Param!$B$9=1,DbExcel!A890,DbWservice!A890)</f>
        <v>0</v>
      </c>
      <c r="B890" s="1">
        <f>IF(Param!$B$9=1,DbExcel!B890,DbWservice!B890)</f>
        <v>0</v>
      </c>
      <c r="C890" s="1">
        <f>IF(Param!$B$9=1,DbExcel!C890,DbWservice!C890)</f>
        <v>0</v>
      </c>
      <c r="D890" s="1">
        <f>IF(Param!$B$9=1,DbExcel!D890,DbWservice!D890)</f>
        <v>0</v>
      </c>
    </row>
    <row r="891" spans="1:4" x14ac:dyDescent="0.25">
      <c r="A891" s="1">
        <f>IF(Param!$B$9=1,DbExcel!A891,DbWservice!A891)</f>
        <v>0</v>
      </c>
      <c r="B891" s="1">
        <f>IF(Param!$B$9=1,DbExcel!B891,DbWservice!B891)</f>
        <v>0</v>
      </c>
      <c r="C891" s="1">
        <f>IF(Param!$B$9=1,DbExcel!C891,DbWservice!C891)</f>
        <v>0</v>
      </c>
      <c r="D891" s="1">
        <f>IF(Param!$B$9=1,DbExcel!D891,DbWservice!D891)</f>
        <v>0</v>
      </c>
    </row>
    <row r="892" spans="1:4" x14ac:dyDescent="0.25">
      <c r="A892" s="1">
        <f>IF(Param!$B$9=1,DbExcel!A892,DbWservice!A892)</f>
        <v>0</v>
      </c>
      <c r="B892" s="1">
        <f>IF(Param!$B$9=1,DbExcel!B892,DbWservice!B892)</f>
        <v>0</v>
      </c>
      <c r="C892" s="1">
        <f>IF(Param!$B$9=1,DbExcel!C892,DbWservice!C892)</f>
        <v>0</v>
      </c>
      <c r="D892" s="1">
        <f>IF(Param!$B$9=1,DbExcel!D892,DbWservice!D892)</f>
        <v>0</v>
      </c>
    </row>
    <row r="893" spans="1:4" x14ac:dyDescent="0.25">
      <c r="A893" s="1">
        <f>IF(Param!$B$9=1,DbExcel!A893,DbWservice!A893)</f>
        <v>0</v>
      </c>
      <c r="B893" s="1">
        <f>IF(Param!$B$9=1,DbExcel!B893,DbWservice!B893)</f>
        <v>0</v>
      </c>
      <c r="C893" s="1">
        <f>IF(Param!$B$9=1,DbExcel!C893,DbWservice!C893)</f>
        <v>0</v>
      </c>
      <c r="D893" s="1">
        <f>IF(Param!$B$9=1,DbExcel!D893,DbWservice!D893)</f>
        <v>0</v>
      </c>
    </row>
    <row r="894" spans="1:4" x14ac:dyDescent="0.25">
      <c r="A894" s="1">
        <f>IF(Param!$B$9=1,DbExcel!A894,DbWservice!A894)</f>
        <v>0</v>
      </c>
      <c r="B894" s="1">
        <f>IF(Param!$B$9=1,DbExcel!B894,DbWservice!B894)</f>
        <v>0</v>
      </c>
      <c r="C894" s="1">
        <f>IF(Param!$B$9=1,DbExcel!C894,DbWservice!C894)</f>
        <v>0</v>
      </c>
      <c r="D894" s="1">
        <f>IF(Param!$B$9=1,DbExcel!D894,DbWservice!D894)</f>
        <v>0</v>
      </c>
    </row>
    <row r="895" spans="1:4" x14ac:dyDescent="0.25">
      <c r="A895" s="1">
        <f>IF(Param!$B$9=1,DbExcel!A895,DbWservice!A895)</f>
        <v>0</v>
      </c>
      <c r="B895" s="1">
        <f>IF(Param!$B$9=1,DbExcel!B895,DbWservice!B895)</f>
        <v>0</v>
      </c>
      <c r="C895" s="1">
        <f>IF(Param!$B$9=1,DbExcel!C895,DbWservice!C895)</f>
        <v>0</v>
      </c>
      <c r="D895" s="1">
        <f>IF(Param!$B$9=1,DbExcel!D895,DbWservice!D895)</f>
        <v>0</v>
      </c>
    </row>
    <row r="896" spans="1:4" x14ac:dyDescent="0.25">
      <c r="A896" s="1">
        <f>IF(Param!$B$9=1,DbExcel!A896,DbWservice!A896)</f>
        <v>0</v>
      </c>
      <c r="B896" s="1">
        <f>IF(Param!$B$9=1,DbExcel!B896,DbWservice!B896)</f>
        <v>0</v>
      </c>
      <c r="C896" s="1">
        <f>IF(Param!$B$9=1,DbExcel!C896,DbWservice!C896)</f>
        <v>0</v>
      </c>
      <c r="D896" s="1">
        <f>IF(Param!$B$9=1,DbExcel!D896,DbWservice!D896)</f>
        <v>0</v>
      </c>
    </row>
    <row r="897" spans="1:4" x14ac:dyDescent="0.25">
      <c r="A897" s="1">
        <f>IF(Param!$B$9=1,DbExcel!A897,DbWservice!A897)</f>
        <v>0</v>
      </c>
      <c r="B897" s="1">
        <f>IF(Param!$B$9=1,DbExcel!B897,DbWservice!B897)</f>
        <v>0</v>
      </c>
      <c r="C897" s="1">
        <f>IF(Param!$B$9=1,DbExcel!C897,DbWservice!C897)</f>
        <v>0</v>
      </c>
      <c r="D897" s="1">
        <f>IF(Param!$B$9=1,DbExcel!D897,DbWservice!D897)</f>
        <v>0</v>
      </c>
    </row>
    <row r="898" spans="1:4" x14ac:dyDescent="0.25">
      <c r="A898" s="1">
        <f>IF(Param!$B$9=1,DbExcel!A898,DbWservice!A898)</f>
        <v>0</v>
      </c>
      <c r="B898" s="1">
        <f>IF(Param!$B$9=1,DbExcel!B898,DbWservice!B898)</f>
        <v>0</v>
      </c>
      <c r="C898" s="1">
        <f>IF(Param!$B$9=1,DbExcel!C898,DbWservice!C898)</f>
        <v>0</v>
      </c>
      <c r="D898" s="1">
        <f>IF(Param!$B$9=1,DbExcel!D898,DbWservice!D898)</f>
        <v>0</v>
      </c>
    </row>
    <row r="899" spans="1:4" x14ac:dyDescent="0.25">
      <c r="A899" s="1">
        <f>IF(Param!$B$9=1,DbExcel!A899,DbWservice!A899)</f>
        <v>0</v>
      </c>
      <c r="B899" s="1">
        <f>IF(Param!$B$9=1,DbExcel!B899,DbWservice!B899)</f>
        <v>0</v>
      </c>
      <c r="C899" s="1">
        <f>IF(Param!$B$9=1,DbExcel!C899,DbWservice!C899)</f>
        <v>0</v>
      </c>
      <c r="D899" s="1">
        <f>IF(Param!$B$9=1,DbExcel!D899,DbWservice!D899)</f>
        <v>0</v>
      </c>
    </row>
    <row r="900" spans="1:4" x14ac:dyDescent="0.25">
      <c r="A900" s="1">
        <f>IF(Param!$B$9=1,DbExcel!A900,DbWservice!A900)</f>
        <v>0</v>
      </c>
      <c r="B900" s="1">
        <f>IF(Param!$B$9=1,DbExcel!B900,DbWservice!B900)</f>
        <v>0</v>
      </c>
      <c r="C900" s="1">
        <f>IF(Param!$B$9=1,DbExcel!C900,DbWservice!C900)</f>
        <v>0</v>
      </c>
      <c r="D900" s="1">
        <f>IF(Param!$B$9=1,DbExcel!D900,DbWservice!D900)</f>
        <v>0</v>
      </c>
    </row>
    <row r="901" spans="1:4" x14ac:dyDescent="0.25">
      <c r="A901" s="1">
        <f>IF(Param!$B$9=1,DbExcel!A901,DbWservice!A901)</f>
        <v>0</v>
      </c>
      <c r="B901" s="1">
        <f>IF(Param!$B$9=1,DbExcel!B901,DbWservice!B901)</f>
        <v>0</v>
      </c>
      <c r="C901" s="1">
        <f>IF(Param!$B$9=1,DbExcel!C901,DbWservice!C901)</f>
        <v>0</v>
      </c>
      <c r="D901" s="1">
        <f>IF(Param!$B$9=1,DbExcel!D901,DbWservice!D901)</f>
        <v>0</v>
      </c>
    </row>
    <row r="902" spans="1:4" x14ac:dyDescent="0.25">
      <c r="A902" s="1">
        <f>IF(Param!$B$9=1,DbExcel!A902,DbWservice!A902)</f>
        <v>0</v>
      </c>
      <c r="B902" s="1">
        <f>IF(Param!$B$9=1,DbExcel!B902,DbWservice!B902)</f>
        <v>0</v>
      </c>
      <c r="C902" s="1">
        <f>IF(Param!$B$9=1,DbExcel!C902,DbWservice!C902)</f>
        <v>0</v>
      </c>
      <c r="D902" s="1">
        <f>IF(Param!$B$9=1,DbExcel!D902,DbWservice!D902)</f>
        <v>0</v>
      </c>
    </row>
    <row r="903" spans="1:4" x14ac:dyDescent="0.25">
      <c r="A903" s="1">
        <f>IF(Param!$B$9=1,DbExcel!A903,DbWservice!A903)</f>
        <v>0</v>
      </c>
      <c r="B903" s="1">
        <f>IF(Param!$B$9=1,DbExcel!B903,DbWservice!B903)</f>
        <v>0</v>
      </c>
      <c r="C903" s="1">
        <f>IF(Param!$B$9=1,DbExcel!C903,DbWservice!C903)</f>
        <v>0</v>
      </c>
      <c r="D903" s="1">
        <f>IF(Param!$B$9=1,DbExcel!D903,DbWservice!D903)</f>
        <v>0</v>
      </c>
    </row>
    <row r="904" spans="1:4" x14ac:dyDescent="0.25">
      <c r="A904" s="1">
        <f>IF(Param!$B$9=1,DbExcel!A904,DbWservice!A904)</f>
        <v>0</v>
      </c>
      <c r="B904" s="1">
        <f>IF(Param!$B$9=1,DbExcel!B904,DbWservice!B904)</f>
        <v>0</v>
      </c>
      <c r="C904" s="1">
        <f>IF(Param!$B$9=1,DbExcel!C904,DbWservice!C904)</f>
        <v>0</v>
      </c>
      <c r="D904" s="1">
        <f>IF(Param!$B$9=1,DbExcel!D904,DbWservice!D904)</f>
        <v>0</v>
      </c>
    </row>
    <row r="905" spans="1:4" x14ac:dyDescent="0.25">
      <c r="A905" s="1">
        <f>IF(Param!$B$9=1,DbExcel!A905,DbWservice!A905)</f>
        <v>0</v>
      </c>
      <c r="B905" s="1">
        <f>IF(Param!$B$9=1,DbExcel!B905,DbWservice!B905)</f>
        <v>0</v>
      </c>
      <c r="C905" s="1">
        <f>IF(Param!$B$9=1,DbExcel!C905,DbWservice!C905)</f>
        <v>0</v>
      </c>
      <c r="D905" s="1">
        <f>IF(Param!$B$9=1,DbExcel!D905,DbWservice!D905)</f>
        <v>0</v>
      </c>
    </row>
    <row r="906" spans="1:4" x14ac:dyDescent="0.25">
      <c r="A906" s="1">
        <f>IF(Param!$B$9=1,DbExcel!A906,DbWservice!A906)</f>
        <v>0</v>
      </c>
      <c r="B906" s="1">
        <f>IF(Param!$B$9=1,DbExcel!B906,DbWservice!B906)</f>
        <v>0</v>
      </c>
      <c r="C906" s="1">
        <f>IF(Param!$B$9=1,DbExcel!C906,DbWservice!C906)</f>
        <v>0</v>
      </c>
      <c r="D906" s="1">
        <f>IF(Param!$B$9=1,DbExcel!D906,DbWservice!D906)</f>
        <v>0</v>
      </c>
    </row>
    <row r="907" spans="1:4" x14ac:dyDescent="0.25">
      <c r="A907" s="1">
        <f>IF(Param!$B$9=1,DbExcel!A907,DbWservice!A907)</f>
        <v>0</v>
      </c>
      <c r="B907" s="1">
        <f>IF(Param!$B$9=1,DbExcel!B907,DbWservice!B907)</f>
        <v>0</v>
      </c>
      <c r="C907" s="1">
        <f>IF(Param!$B$9=1,DbExcel!C907,DbWservice!C907)</f>
        <v>0</v>
      </c>
      <c r="D907" s="1">
        <f>IF(Param!$B$9=1,DbExcel!D907,DbWservice!D907)</f>
        <v>0</v>
      </c>
    </row>
    <row r="908" spans="1:4" x14ac:dyDescent="0.25">
      <c r="A908" s="1">
        <f>IF(Param!$B$9=1,DbExcel!A908,DbWservice!A908)</f>
        <v>0</v>
      </c>
      <c r="B908" s="1">
        <f>IF(Param!$B$9=1,DbExcel!B908,DbWservice!B908)</f>
        <v>0</v>
      </c>
      <c r="C908" s="1">
        <f>IF(Param!$B$9=1,DbExcel!C908,DbWservice!C908)</f>
        <v>0</v>
      </c>
      <c r="D908" s="1">
        <f>IF(Param!$B$9=1,DbExcel!D908,DbWservice!D908)</f>
        <v>0</v>
      </c>
    </row>
    <row r="909" spans="1:4" x14ac:dyDescent="0.25">
      <c r="A909" s="1">
        <f>IF(Param!$B$9=1,DbExcel!A909,DbWservice!A909)</f>
        <v>0</v>
      </c>
      <c r="B909" s="1">
        <f>IF(Param!$B$9=1,DbExcel!B909,DbWservice!B909)</f>
        <v>0</v>
      </c>
      <c r="C909" s="1">
        <f>IF(Param!$B$9=1,DbExcel!C909,DbWservice!C909)</f>
        <v>0</v>
      </c>
      <c r="D909" s="1">
        <f>IF(Param!$B$9=1,DbExcel!D909,DbWservice!D909)</f>
        <v>0</v>
      </c>
    </row>
    <row r="910" spans="1:4" x14ac:dyDescent="0.25">
      <c r="A910" s="1">
        <f>IF(Param!$B$9=1,DbExcel!A910,DbWservice!A910)</f>
        <v>0</v>
      </c>
      <c r="B910" s="1">
        <f>IF(Param!$B$9=1,DbExcel!B910,DbWservice!B910)</f>
        <v>0</v>
      </c>
      <c r="C910" s="1">
        <f>IF(Param!$B$9=1,DbExcel!C910,DbWservice!C910)</f>
        <v>0</v>
      </c>
      <c r="D910" s="1">
        <f>IF(Param!$B$9=1,DbExcel!D910,DbWservice!D910)</f>
        <v>0</v>
      </c>
    </row>
    <row r="911" spans="1:4" x14ac:dyDescent="0.25">
      <c r="A911" s="1">
        <f>IF(Param!$B$9=1,DbExcel!A911,DbWservice!A911)</f>
        <v>0</v>
      </c>
      <c r="B911" s="1">
        <f>IF(Param!$B$9=1,DbExcel!B911,DbWservice!B911)</f>
        <v>0</v>
      </c>
      <c r="C911" s="1">
        <f>IF(Param!$B$9=1,DbExcel!C911,DbWservice!C911)</f>
        <v>0</v>
      </c>
      <c r="D911" s="1">
        <f>IF(Param!$B$9=1,DbExcel!D911,DbWservice!D911)</f>
        <v>0</v>
      </c>
    </row>
    <row r="912" spans="1:4" x14ac:dyDescent="0.25">
      <c r="A912" s="1">
        <f>IF(Param!$B$9=1,DbExcel!A912,DbWservice!A912)</f>
        <v>0</v>
      </c>
      <c r="B912" s="1">
        <f>IF(Param!$B$9=1,DbExcel!B912,DbWservice!B912)</f>
        <v>0</v>
      </c>
      <c r="C912" s="1">
        <f>IF(Param!$B$9=1,DbExcel!C912,DbWservice!C912)</f>
        <v>0</v>
      </c>
      <c r="D912" s="1">
        <f>IF(Param!$B$9=1,DbExcel!D912,DbWservice!D912)</f>
        <v>0</v>
      </c>
    </row>
    <row r="913" spans="1:4" x14ac:dyDescent="0.25">
      <c r="A913" s="1">
        <f>IF(Param!$B$9=1,DbExcel!A913,DbWservice!A913)</f>
        <v>0</v>
      </c>
      <c r="B913" s="1">
        <f>IF(Param!$B$9=1,DbExcel!B913,DbWservice!B913)</f>
        <v>0</v>
      </c>
      <c r="C913" s="1">
        <f>IF(Param!$B$9=1,DbExcel!C913,DbWservice!C913)</f>
        <v>0</v>
      </c>
      <c r="D913" s="1">
        <f>IF(Param!$B$9=1,DbExcel!D913,DbWservice!D913)</f>
        <v>0</v>
      </c>
    </row>
    <row r="914" spans="1:4" x14ac:dyDescent="0.25">
      <c r="A914" s="1">
        <f>IF(Param!$B$9=1,DbExcel!A914,DbWservice!A914)</f>
        <v>0</v>
      </c>
      <c r="B914" s="1">
        <f>IF(Param!$B$9=1,DbExcel!B914,DbWservice!B914)</f>
        <v>0</v>
      </c>
      <c r="C914" s="1">
        <f>IF(Param!$B$9=1,DbExcel!C914,DbWservice!C914)</f>
        <v>0</v>
      </c>
      <c r="D914" s="1">
        <f>IF(Param!$B$9=1,DbExcel!D914,DbWservice!D914)</f>
        <v>0</v>
      </c>
    </row>
    <row r="915" spans="1:4" x14ac:dyDescent="0.25">
      <c r="A915" s="1">
        <f>IF(Param!$B$9=1,DbExcel!A915,DbWservice!A915)</f>
        <v>0</v>
      </c>
      <c r="B915" s="1">
        <f>IF(Param!$B$9=1,DbExcel!B915,DbWservice!B915)</f>
        <v>0</v>
      </c>
      <c r="C915" s="1">
        <f>IF(Param!$B$9=1,DbExcel!C915,DbWservice!C915)</f>
        <v>0</v>
      </c>
      <c r="D915" s="1">
        <f>IF(Param!$B$9=1,DbExcel!D915,DbWservice!D915)</f>
        <v>0</v>
      </c>
    </row>
    <row r="916" spans="1:4" x14ac:dyDescent="0.25">
      <c r="A916" s="1">
        <f>IF(Param!$B$9=1,DbExcel!A916,DbWservice!A916)</f>
        <v>0</v>
      </c>
      <c r="B916" s="1">
        <f>IF(Param!$B$9=1,DbExcel!B916,DbWservice!B916)</f>
        <v>0</v>
      </c>
      <c r="C916" s="1">
        <f>IF(Param!$B$9=1,DbExcel!C916,DbWservice!C916)</f>
        <v>0</v>
      </c>
      <c r="D916" s="1">
        <f>IF(Param!$B$9=1,DbExcel!D916,DbWservice!D916)</f>
        <v>0</v>
      </c>
    </row>
    <row r="917" spans="1:4" x14ac:dyDescent="0.25">
      <c r="A917" s="1">
        <f>IF(Param!$B$9=1,DbExcel!A917,DbWservice!A917)</f>
        <v>0</v>
      </c>
      <c r="B917" s="1">
        <f>IF(Param!$B$9=1,DbExcel!B917,DbWservice!B917)</f>
        <v>0</v>
      </c>
      <c r="C917" s="1">
        <f>IF(Param!$B$9=1,DbExcel!C917,DbWservice!C917)</f>
        <v>0</v>
      </c>
      <c r="D917" s="1">
        <f>IF(Param!$B$9=1,DbExcel!D917,DbWservice!D917)</f>
        <v>0</v>
      </c>
    </row>
    <row r="918" spans="1:4" x14ac:dyDescent="0.25">
      <c r="A918" s="1">
        <f>IF(Param!$B$9=1,DbExcel!A918,DbWservice!A918)</f>
        <v>0</v>
      </c>
      <c r="B918" s="1">
        <f>IF(Param!$B$9=1,DbExcel!B918,DbWservice!B918)</f>
        <v>0</v>
      </c>
      <c r="C918" s="1">
        <f>IF(Param!$B$9=1,DbExcel!C918,DbWservice!C918)</f>
        <v>0</v>
      </c>
      <c r="D918" s="1">
        <f>IF(Param!$B$9=1,DbExcel!D918,DbWservice!D918)</f>
        <v>0</v>
      </c>
    </row>
    <row r="919" spans="1:4" x14ac:dyDescent="0.25">
      <c r="A919" s="1">
        <f>IF(Param!$B$9=1,DbExcel!A919,DbWservice!A919)</f>
        <v>0</v>
      </c>
      <c r="B919" s="1">
        <f>IF(Param!$B$9=1,DbExcel!B919,DbWservice!B919)</f>
        <v>0</v>
      </c>
      <c r="C919" s="1">
        <f>IF(Param!$B$9=1,DbExcel!C919,DbWservice!C919)</f>
        <v>0</v>
      </c>
      <c r="D919" s="1">
        <f>IF(Param!$B$9=1,DbExcel!D919,DbWservice!D919)</f>
        <v>0</v>
      </c>
    </row>
    <row r="920" spans="1:4" x14ac:dyDescent="0.25">
      <c r="A920" s="1">
        <f>IF(Param!$B$9=1,DbExcel!A920,DbWservice!A920)</f>
        <v>0</v>
      </c>
      <c r="B920" s="1">
        <f>IF(Param!$B$9=1,DbExcel!B920,DbWservice!B920)</f>
        <v>0</v>
      </c>
      <c r="C920" s="1">
        <f>IF(Param!$B$9=1,DbExcel!C920,DbWservice!C920)</f>
        <v>0</v>
      </c>
      <c r="D920" s="1">
        <f>IF(Param!$B$9=1,DbExcel!D920,DbWservice!D920)</f>
        <v>0</v>
      </c>
    </row>
    <row r="921" spans="1:4" x14ac:dyDescent="0.25">
      <c r="A921" s="1">
        <f>IF(Param!$B$9=1,DbExcel!A921,DbWservice!A921)</f>
        <v>0</v>
      </c>
      <c r="B921" s="1">
        <f>IF(Param!$B$9=1,DbExcel!B921,DbWservice!B921)</f>
        <v>0</v>
      </c>
      <c r="C921" s="1">
        <f>IF(Param!$B$9=1,DbExcel!C921,DbWservice!C921)</f>
        <v>0</v>
      </c>
      <c r="D921" s="1">
        <f>IF(Param!$B$9=1,DbExcel!D921,DbWservice!D921)</f>
        <v>0</v>
      </c>
    </row>
    <row r="922" spans="1:4" x14ac:dyDescent="0.25">
      <c r="A922" s="1">
        <f>IF(Param!$B$9=1,DbExcel!A922,DbWservice!A922)</f>
        <v>0</v>
      </c>
      <c r="B922" s="1">
        <f>IF(Param!$B$9=1,DbExcel!B922,DbWservice!B922)</f>
        <v>0</v>
      </c>
      <c r="C922" s="1">
        <f>IF(Param!$B$9=1,DbExcel!C922,DbWservice!C922)</f>
        <v>0</v>
      </c>
      <c r="D922" s="1">
        <f>IF(Param!$B$9=1,DbExcel!D922,DbWservice!D922)</f>
        <v>0</v>
      </c>
    </row>
    <row r="923" spans="1:4" x14ac:dyDescent="0.25">
      <c r="A923" s="1">
        <f>IF(Param!$B$9=1,DbExcel!A923,DbWservice!A923)</f>
        <v>0</v>
      </c>
      <c r="B923" s="1">
        <f>IF(Param!$B$9=1,DbExcel!B923,DbWservice!B923)</f>
        <v>0</v>
      </c>
      <c r="C923" s="1">
        <f>IF(Param!$B$9=1,DbExcel!C923,DbWservice!C923)</f>
        <v>0</v>
      </c>
      <c r="D923" s="1">
        <f>IF(Param!$B$9=1,DbExcel!D923,DbWservice!D923)</f>
        <v>0</v>
      </c>
    </row>
    <row r="924" spans="1:4" x14ac:dyDescent="0.25">
      <c r="A924" s="1">
        <f>IF(Param!$B$9=1,DbExcel!A924,DbWservice!A924)</f>
        <v>0</v>
      </c>
      <c r="B924" s="1">
        <f>IF(Param!$B$9=1,DbExcel!B924,DbWservice!B924)</f>
        <v>0</v>
      </c>
      <c r="C924" s="1">
        <f>IF(Param!$B$9=1,DbExcel!C924,DbWservice!C924)</f>
        <v>0</v>
      </c>
      <c r="D924" s="1">
        <f>IF(Param!$B$9=1,DbExcel!D924,DbWservice!D924)</f>
        <v>0</v>
      </c>
    </row>
    <row r="925" spans="1:4" x14ac:dyDescent="0.25">
      <c r="A925" s="1">
        <f>IF(Param!$B$9=1,DbExcel!A925,DbWservice!A925)</f>
        <v>0</v>
      </c>
      <c r="B925" s="1">
        <f>IF(Param!$B$9=1,DbExcel!B925,DbWservice!B925)</f>
        <v>0</v>
      </c>
      <c r="C925" s="1">
        <f>IF(Param!$B$9=1,DbExcel!C925,DbWservice!C925)</f>
        <v>0</v>
      </c>
      <c r="D925" s="1">
        <f>IF(Param!$B$9=1,DbExcel!D925,DbWservice!D925)</f>
        <v>0</v>
      </c>
    </row>
    <row r="926" spans="1:4" x14ac:dyDescent="0.25">
      <c r="A926" s="1">
        <f>IF(Param!$B$9=1,DbExcel!A926,DbWservice!A926)</f>
        <v>0</v>
      </c>
      <c r="B926" s="1">
        <f>IF(Param!$B$9=1,DbExcel!B926,DbWservice!B926)</f>
        <v>0</v>
      </c>
      <c r="C926" s="1">
        <f>IF(Param!$B$9=1,DbExcel!C926,DbWservice!C926)</f>
        <v>0</v>
      </c>
      <c r="D926" s="1">
        <f>IF(Param!$B$9=1,DbExcel!D926,DbWservice!D926)</f>
        <v>0</v>
      </c>
    </row>
    <row r="927" spans="1:4" x14ac:dyDescent="0.25">
      <c r="A927" s="1">
        <f>IF(Param!$B$9=1,DbExcel!A927,DbWservice!A927)</f>
        <v>0</v>
      </c>
      <c r="B927" s="1">
        <f>IF(Param!$B$9=1,DbExcel!B927,DbWservice!B927)</f>
        <v>0</v>
      </c>
      <c r="C927" s="1">
        <f>IF(Param!$B$9=1,DbExcel!C927,DbWservice!C927)</f>
        <v>0</v>
      </c>
      <c r="D927" s="1">
        <f>IF(Param!$B$9=1,DbExcel!D927,DbWservice!D927)</f>
        <v>0</v>
      </c>
    </row>
    <row r="928" spans="1:4" x14ac:dyDescent="0.25">
      <c r="A928" s="1">
        <f>IF(Param!$B$9=1,DbExcel!A928,DbWservice!A928)</f>
        <v>0</v>
      </c>
      <c r="B928" s="1">
        <f>IF(Param!$B$9=1,DbExcel!B928,DbWservice!B928)</f>
        <v>0</v>
      </c>
      <c r="C928" s="1">
        <f>IF(Param!$B$9=1,DbExcel!C928,DbWservice!C928)</f>
        <v>0</v>
      </c>
      <c r="D928" s="1">
        <f>IF(Param!$B$9=1,DbExcel!D928,DbWservice!D928)</f>
        <v>0</v>
      </c>
    </row>
    <row r="929" spans="1:4" x14ac:dyDescent="0.25">
      <c r="A929" s="1">
        <f>IF(Param!$B$9=1,DbExcel!A929,DbWservice!A929)</f>
        <v>0</v>
      </c>
      <c r="B929" s="1">
        <f>IF(Param!$B$9=1,DbExcel!B929,DbWservice!B929)</f>
        <v>0</v>
      </c>
      <c r="C929" s="1">
        <f>IF(Param!$B$9=1,DbExcel!C929,DbWservice!C929)</f>
        <v>0</v>
      </c>
      <c r="D929" s="1">
        <f>IF(Param!$B$9=1,DbExcel!D929,DbWservice!D929)</f>
        <v>0</v>
      </c>
    </row>
    <row r="930" spans="1:4" x14ac:dyDescent="0.25">
      <c r="A930" s="1">
        <f>IF(Param!$B$9=1,DbExcel!A930,DbWservice!A930)</f>
        <v>0</v>
      </c>
      <c r="B930" s="1">
        <f>IF(Param!$B$9=1,DbExcel!B930,DbWservice!B930)</f>
        <v>0</v>
      </c>
      <c r="C930" s="1">
        <f>IF(Param!$B$9=1,DbExcel!C930,DbWservice!C930)</f>
        <v>0</v>
      </c>
      <c r="D930" s="1">
        <f>IF(Param!$B$9=1,DbExcel!D930,DbWservice!D930)</f>
        <v>0</v>
      </c>
    </row>
    <row r="931" spans="1:4" x14ac:dyDescent="0.25">
      <c r="A931" s="1">
        <f>IF(Param!$B$9=1,DbExcel!A931,DbWservice!A931)</f>
        <v>0</v>
      </c>
      <c r="B931" s="1">
        <f>IF(Param!$B$9=1,DbExcel!B931,DbWservice!B931)</f>
        <v>0</v>
      </c>
      <c r="C931" s="1">
        <f>IF(Param!$B$9=1,DbExcel!C931,DbWservice!C931)</f>
        <v>0</v>
      </c>
      <c r="D931" s="1">
        <f>IF(Param!$B$9=1,DbExcel!D931,DbWservice!D931)</f>
        <v>0</v>
      </c>
    </row>
    <row r="932" spans="1:4" x14ac:dyDescent="0.25">
      <c r="A932" s="1">
        <f>IF(Param!$B$9=1,DbExcel!A932,DbWservice!A932)</f>
        <v>0</v>
      </c>
      <c r="B932" s="1">
        <f>IF(Param!$B$9=1,DbExcel!B932,DbWservice!B932)</f>
        <v>0</v>
      </c>
      <c r="C932" s="1">
        <f>IF(Param!$B$9=1,DbExcel!C932,DbWservice!C932)</f>
        <v>0</v>
      </c>
      <c r="D932" s="1">
        <f>IF(Param!$B$9=1,DbExcel!D932,DbWservice!D932)</f>
        <v>0</v>
      </c>
    </row>
    <row r="933" spans="1:4" x14ac:dyDescent="0.25">
      <c r="A933" s="1">
        <f>IF(Param!$B$9=1,DbExcel!A933,DbWservice!A933)</f>
        <v>0</v>
      </c>
      <c r="B933" s="1">
        <f>IF(Param!$B$9=1,DbExcel!B933,DbWservice!B933)</f>
        <v>0</v>
      </c>
      <c r="C933" s="1">
        <f>IF(Param!$B$9=1,DbExcel!C933,DbWservice!C933)</f>
        <v>0</v>
      </c>
      <c r="D933" s="1">
        <f>IF(Param!$B$9=1,DbExcel!D933,DbWservice!D933)</f>
        <v>0</v>
      </c>
    </row>
    <row r="934" spans="1:4" x14ac:dyDescent="0.25">
      <c r="A934" s="1">
        <f>IF(Param!$B$9=1,DbExcel!A934,DbWservice!A934)</f>
        <v>0</v>
      </c>
      <c r="B934" s="1">
        <f>IF(Param!$B$9=1,DbExcel!B934,DbWservice!B934)</f>
        <v>0</v>
      </c>
      <c r="C934" s="1">
        <f>IF(Param!$B$9=1,DbExcel!C934,DbWservice!C934)</f>
        <v>0</v>
      </c>
      <c r="D934" s="1">
        <f>IF(Param!$B$9=1,DbExcel!D934,DbWservice!D934)</f>
        <v>0</v>
      </c>
    </row>
    <row r="935" spans="1:4" x14ac:dyDescent="0.25">
      <c r="A935" s="1">
        <f>IF(Param!$B$9=1,DbExcel!A935,DbWservice!A935)</f>
        <v>0</v>
      </c>
      <c r="B935" s="1">
        <f>IF(Param!$B$9=1,DbExcel!B935,DbWservice!B935)</f>
        <v>0</v>
      </c>
      <c r="C935" s="1">
        <f>IF(Param!$B$9=1,DbExcel!C935,DbWservice!C935)</f>
        <v>0</v>
      </c>
      <c r="D935" s="1">
        <f>IF(Param!$B$9=1,DbExcel!D935,DbWservice!D935)</f>
        <v>0</v>
      </c>
    </row>
    <row r="936" spans="1:4" x14ac:dyDescent="0.25">
      <c r="A936" s="1">
        <f>IF(Param!$B$9=1,DbExcel!A936,DbWservice!A936)</f>
        <v>0</v>
      </c>
      <c r="B936" s="1">
        <f>IF(Param!$B$9=1,DbExcel!B936,DbWservice!B936)</f>
        <v>0</v>
      </c>
      <c r="C936" s="1">
        <f>IF(Param!$B$9=1,DbExcel!C936,DbWservice!C936)</f>
        <v>0</v>
      </c>
      <c r="D936" s="1">
        <f>IF(Param!$B$9=1,DbExcel!D936,DbWservice!D936)</f>
        <v>0</v>
      </c>
    </row>
    <row r="937" spans="1:4" x14ac:dyDescent="0.25">
      <c r="A937" s="1">
        <f>IF(Param!$B$9=1,DbExcel!A937,DbWservice!A937)</f>
        <v>0</v>
      </c>
      <c r="B937" s="1">
        <f>IF(Param!$B$9=1,DbExcel!B937,DbWservice!B937)</f>
        <v>0</v>
      </c>
      <c r="C937" s="1">
        <f>IF(Param!$B$9=1,DbExcel!C937,DbWservice!C937)</f>
        <v>0</v>
      </c>
      <c r="D937" s="1">
        <f>IF(Param!$B$9=1,DbExcel!D937,DbWservice!D937)</f>
        <v>0</v>
      </c>
    </row>
    <row r="938" spans="1:4" x14ac:dyDescent="0.25">
      <c r="A938" s="1">
        <f>IF(Param!$B$9=1,DbExcel!A938,DbWservice!A938)</f>
        <v>0</v>
      </c>
      <c r="B938" s="1">
        <f>IF(Param!$B$9=1,DbExcel!B938,DbWservice!B938)</f>
        <v>0</v>
      </c>
      <c r="C938" s="1">
        <f>IF(Param!$B$9=1,DbExcel!C938,DbWservice!C938)</f>
        <v>0</v>
      </c>
      <c r="D938" s="1">
        <f>IF(Param!$B$9=1,DbExcel!D938,DbWservice!D938)</f>
        <v>0</v>
      </c>
    </row>
    <row r="939" spans="1:4" x14ac:dyDescent="0.25">
      <c r="A939" s="1">
        <f>IF(Param!$B$9=1,DbExcel!A939,DbWservice!A939)</f>
        <v>0</v>
      </c>
      <c r="B939" s="1">
        <f>IF(Param!$B$9=1,DbExcel!B939,DbWservice!B939)</f>
        <v>0</v>
      </c>
      <c r="C939" s="1">
        <f>IF(Param!$B$9=1,DbExcel!C939,DbWservice!C939)</f>
        <v>0</v>
      </c>
      <c r="D939" s="1">
        <f>IF(Param!$B$9=1,DbExcel!D939,DbWservice!D939)</f>
        <v>0</v>
      </c>
    </row>
    <row r="940" spans="1:4" x14ac:dyDescent="0.25">
      <c r="A940" s="1">
        <f>IF(Param!$B$9=1,DbExcel!A940,DbWservice!A940)</f>
        <v>0</v>
      </c>
      <c r="B940" s="1">
        <f>IF(Param!$B$9=1,DbExcel!B940,DbWservice!B940)</f>
        <v>0</v>
      </c>
      <c r="C940" s="1">
        <f>IF(Param!$B$9=1,DbExcel!C940,DbWservice!C940)</f>
        <v>0</v>
      </c>
      <c r="D940" s="1">
        <f>IF(Param!$B$9=1,DbExcel!D940,DbWservice!D940)</f>
        <v>0</v>
      </c>
    </row>
    <row r="941" spans="1:4" x14ac:dyDescent="0.25">
      <c r="A941" s="1">
        <f>IF(Param!$B$9=1,DbExcel!A941,DbWservice!A941)</f>
        <v>0</v>
      </c>
      <c r="B941" s="1">
        <f>IF(Param!$B$9=1,DbExcel!B941,DbWservice!B941)</f>
        <v>0</v>
      </c>
      <c r="C941" s="1">
        <f>IF(Param!$B$9=1,DbExcel!C941,DbWservice!C941)</f>
        <v>0</v>
      </c>
      <c r="D941" s="1">
        <f>IF(Param!$B$9=1,DbExcel!D941,DbWservice!D941)</f>
        <v>0</v>
      </c>
    </row>
    <row r="942" spans="1:4" x14ac:dyDescent="0.25">
      <c r="A942" s="1">
        <f>IF(Param!$B$9=1,DbExcel!A942,DbWservice!A942)</f>
        <v>0</v>
      </c>
      <c r="B942" s="1">
        <f>IF(Param!$B$9=1,DbExcel!B942,DbWservice!B942)</f>
        <v>0</v>
      </c>
      <c r="C942" s="1">
        <f>IF(Param!$B$9=1,DbExcel!C942,DbWservice!C942)</f>
        <v>0</v>
      </c>
      <c r="D942" s="1">
        <f>IF(Param!$B$9=1,DbExcel!D942,DbWservice!D942)</f>
        <v>0</v>
      </c>
    </row>
    <row r="943" spans="1:4" x14ac:dyDescent="0.25">
      <c r="A943" s="1">
        <f>IF(Param!$B$9=1,DbExcel!A943,DbWservice!A943)</f>
        <v>0</v>
      </c>
      <c r="B943" s="1">
        <f>IF(Param!$B$9=1,DbExcel!B943,DbWservice!B943)</f>
        <v>0</v>
      </c>
      <c r="C943" s="1">
        <f>IF(Param!$B$9=1,DbExcel!C943,DbWservice!C943)</f>
        <v>0</v>
      </c>
      <c r="D943" s="1">
        <f>IF(Param!$B$9=1,DbExcel!D943,DbWservice!D943)</f>
        <v>0</v>
      </c>
    </row>
    <row r="944" spans="1:4" x14ac:dyDescent="0.25">
      <c r="A944" s="1">
        <f>IF(Param!$B$9=1,DbExcel!A944,DbWservice!A944)</f>
        <v>0</v>
      </c>
      <c r="B944" s="1">
        <f>IF(Param!$B$9=1,DbExcel!B944,DbWservice!B944)</f>
        <v>0</v>
      </c>
      <c r="C944" s="1">
        <f>IF(Param!$B$9=1,DbExcel!C944,DbWservice!C944)</f>
        <v>0</v>
      </c>
      <c r="D944" s="1">
        <f>IF(Param!$B$9=1,DbExcel!D944,DbWservice!D944)</f>
        <v>0</v>
      </c>
    </row>
    <row r="945" spans="1:4" x14ac:dyDescent="0.25">
      <c r="A945" s="1">
        <f>IF(Param!$B$9=1,DbExcel!A945,DbWservice!A945)</f>
        <v>0</v>
      </c>
      <c r="B945" s="1">
        <f>IF(Param!$B$9=1,DbExcel!B945,DbWservice!B945)</f>
        <v>0</v>
      </c>
      <c r="C945" s="1">
        <f>IF(Param!$B$9=1,DbExcel!C945,DbWservice!C945)</f>
        <v>0</v>
      </c>
      <c r="D945" s="1">
        <f>IF(Param!$B$9=1,DbExcel!D945,DbWservice!D945)</f>
        <v>0</v>
      </c>
    </row>
    <row r="946" spans="1:4" x14ac:dyDescent="0.25">
      <c r="A946" s="1">
        <f>IF(Param!$B$9=1,DbExcel!A946,DbWservice!A946)</f>
        <v>0</v>
      </c>
      <c r="B946" s="1">
        <f>IF(Param!$B$9=1,DbExcel!B946,DbWservice!B946)</f>
        <v>0</v>
      </c>
      <c r="C946" s="1">
        <f>IF(Param!$B$9=1,DbExcel!C946,DbWservice!C946)</f>
        <v>0</v>
      </c>
      <c r="D946" s="1">
        <f>IF(Param!$B$9=1,DbExcel!D946,DbWservice!D946)</f>
        <v>0</v>
      </c>
    </row>
    <row r="947" spans="1:4" x14ac:dyDescent="0.25">
      <c r="A947" s="1">
        <f>IF(Param!$B$9=1,DbExcel!A947,DbWservice!A947)</f>
        <v>0</v>
      </c>
      <c r="B947" s="1">
        <f>IF(Param!$B$9=1,DbExcel!B947,DbWservice!B947)</f>
        <v>0</v>
      </c>
      <c r="C947" s="1">
        <f>IF(Param!$B$9=1,DbExcel!C947,DbWservice!C947)</f>
        <v>0</v>
      </c>
      <c r="D947" s="1">
        <f>IF(Param!$B$9=1,DbExcel!D947,DbWservice!D947)</f>
        <v>0</v>
      </c>
    </row>
    <row r="948" spans="1:4" x14ac:dyDescent="0.25">
      <c r="A948" s="1">
        <f>IF(Param!$B$9=1,DbExcel!A948,DbWservice!A948)</f>
        <v>0</v>
      </c>
      <c r="B948" s="1">
        <f>IF(Param!$B$9=1,DbExcel!B948,DbWservice!B948)</f>
        <v>0</v>
      </c>
      <c r="C948" s="1">
        <f>IF(Param!$B$9=1,DbExcel!C948,DbWservice!C948)</f>
        <v>0</v>
      </c>
      <c r="D948" s="1">
        <f>IF(Param!$B$9=1,DbExcel!D948,DbWservice!D948)</f>
        <v>0</v>
      </c>
    </row>
    <row r="949" spans="1:4" x14ac:dyDescent="0.25">
      <c r="A949" s="1">
        <f>IF(Param!$B$9=1,DbExcel!A949,DbWservice!A949)</f>
        <v>0</v>
      </c>
      <c r="B949" s="1">
        <f>IF(Param!$B$9=1,DbExcel!B949,DbWservice!B949)</f>
        <v>0</v>
      </c>
      <c r="C949" s="1">
        <f>IF(Param!$B$9=1,DbExcel!C949,DbWservice!C949)</f>
        <v>0</v>
      </c>
      <c r="D949" s="1">
        <f>IF(Param!$B$9=1,DbExcel!D949,DbWservice!D949)</f>
        <v>0</v>
      </c>
    </row>
    <row r="950" spans="1:4" x14ac:dyDescent="0.25">
      <c r="A950" s="1">
        <f>IF(Param!$B$9=1,DbExcel!A950,DbWservice!A950)</f>
        <v>0</v>
      </c>
      <c r="B950" s="1">
        <f>IF(Param!$B$9=1,DbExcel!B950,DbWservice!B950)</f>
        <v>0</v>
      </c>
      <c r="C950" s="1">
        <f>IF(Param!$B$9=1,DbExcel!C950,DbWservice!C950)</f>
        <v>0</v>
      </c>
      <c r="D950" s="1">
        <f>IF(Param!$B$9=1,DbExcel!D950,DbWservice!D950)</f>
        <v>0</v>
      </c>
    </row>
    <row r="951" spans="1:4" x14ac:dyDescent="0.25">
      <c r="A951" s="1">
        <f>IF(Param!$B$9=1,DbExcel!A951,DbWservice!A951)</f>
        <v>0</v>
      </c>
      <c r="B951" s="1">
        <f>IF(Param!$B$9=1,DbExcel!B951,DbWservice!B951)</f>
        <v>0</v>
      </c>
      <c r="C951" s="1">
        <f>IF(Param!$B$9=1,DbExcel!C951,DbWservice!C951)</f>
        <v>0</v>
      </c>
      <c r="D951" s="1">
        <f>IF(Param!$B$9=1,DbExcel!D951,DbWservice!D951)</f>
        <v>0</v>
      </c>
    </row>
    <row r="952" spans="1:4" x14ac:dyDescent="0.25">
      <c r="A952" s="1">
        <f>IF(Param!$B$9=1,DbExcel!A952,DbWservice!A952)</f>
        <v>0</v>
      </c>
      <c r="B952" s="1">
        <f>IF(Param!$B$9=1,DbExcel!B952,DbWservice!B952)</f>
        <v>0</v>
      </c>
      <c r="C952" s="1">
        <f>IF(Param!$B$9=1,DbExcel!C952,DbWservice!C952)</f>
        <v>0</v>
      </c>
      <c r="D952" s="1">
        <f>IF(Param!$B$9=1,DbExcel!D952,DbWservice!D952)</f>
        <v>0</v>
      </c>
    </row>
    <row r="953" spans="1:4" x14ac:dyDescent="0.25">
      <c r="A953" s="1">
        <f>IF(Param!$B$9=1,DbExcel!A953,DbWservice!A953)</f>
        <v>0</v>
      </c>
      <c r="B953" s="1">
        <f>IF(Param!$B$9=1,DbExcel!B953,DbWservice!B953)</f>
        <v>0</v>
      </c>
      <c r="C953" s="1">
        <f>IF(Param!$B$9=1,DbExcel!C953,DbWservice!C953)</f>
        <v>0</v>
      </c>
      <c r="D953" s="1">
        <f>IF(Param!$B$9=1,DbExcel!D953,DbWservice!D953)</f>
        <v>0</v>
      </c>
    </row>
    <row r="954" spans="1:4" x14ac:dyDescent="0.25">
      <c r="A954" s="1">
        <f>IF(Param!$B$9=1,DbExcel!A954,DbWservice!A954)</f>
        <v>0</v>
      </c>
      <c r="B954" s="1">
        <f>IF(Param!$B$9=1,DbExcel!B954,DbWservice!B954)</f>
        <v>0</v>
      </c>
      <c r="C954" s="1">
        <f>IF(Param!$B$9=1,DbExcel!C954,DbWservice!C954)</f>
        <v>0</v>
      </c>
      <c r="D954" s="1">
        <f>IF(Param!$B$9=1,DbExcel!D954,DbWservice!D954)</f>
        <v>0</v>
      </c>
    </row>
    <row r="955" spans="1:4" x14ac:dyDescent="0.25">
      <c r="A955" s="1">
        <f>IF(Param!$B$9=1,DbExcel!A955,DbWservice!A955)</f>
        <v>0</v>
      </c>
      <c r="B955" s="1">
        <f>IF(Param!$B$9=1,DbExcel!B955,DbWservice!B955)</f>
        <v>0</v>
      </c>
      <c r="C955" s="1">
        <f>IF(Param!$B$9=1,DbExcel!C955,DbWservice!C955)</f>
        <v>0</v>
      </c>
      <c r="D955" s="1">
        <f>IF(Param!$B$9=1,DbExcel!D955,DbWservice!D955)</f>
        <v>0</v>
      </c>
    </row>
    <row r="956" spans="1:4" x14ac:dyDescent="0.25">
      <c r="A956" s="1">
        <f>IF(Param!$B$9=1,DbExcel!A956,DbWservice!A956)</f>
        <v>0</v>
      </c>
      <c r="B956" s="1">
        <f>IF(Param!$B$9=1,DbExcel!B956,DbWservice!B956)</f>
        <v>0</v>
      </c>
      <c r="C956" s="1">
        <f>IF(Param!$B$9=1,DbExcel!C956,DbWservice!C956)</f>
        <v>0</v>
      </c>
      <c r="D956" s="1">
        <f>IF(Param!$B$9=1,DbExcel!D956,DbWservice!D956)</f>
        <v>0</v>
      </c>
    </row>
    <row r="957" spans="1:4" x14ac:dyDescent="0.25">
      <c r="A957" s="1">
        <f>IF(Param!$B$9=1,DbExcel!A957,DbWservice!A957)</f>
        <v>0</v>
      </c>
      <c r="B957" s="1">
        <f>IF(Param!$B$9=1,DbExcel!B957,DbWservice!B957)</f>
        <v>0</v>
      </c>
      <c r="C957" s="1">
        <f>IF(Param!$B$9=1,DbExcel!C957,DbWservice!C957)</f>
        <v>0</v>
      </c>
      <c r="D957" s="1">
        <f>IF(Param!$B$9=1,DbExcel!D957,DbWservice!D957)</f>
        <v>0</v>
      </c>
    </row>
    <row r="958" spans="1:4" x14ac:dyDescent="0.25">
      <c r="A958" s="1">
        <f>IF(Param!$B$9=1,DbExcel!A958,DbWservice!A958)</f>
        <v>0</v>
      </c>
      <c r="B958" s="1">
        <f>IF(Param!$B$9=1,DbExcel!B958,DbWservice!B958)</f>
        <v>0</v>
      </c>
      <c r="C958" s="1">
        <f>IF(Param!$B$9=1,DbExcel!C958,DbWservice!C958)</f>
        <v>0</v>
      </c>
      <c r="D958" s="1">
        <f>IF(Param!$B$9=1,DbExcel!D958,DbWservice!D958)</f>
        <v>0</v>
      </c>
    </row>
    <row r="959" spans="1:4" x14ac:dyDescent="0.25">
      <c r="A959" s="1">
        <f>IF(Param!$B$9=1,DbExcel!A959,DbWservice!A959)</f>
        <v>0</v>
      </c>
      <c r="B959" s="1">
        <f>IF(Param!$B$9=1,DbExcel!B959,DbWservice!B959)</f>
        <v>0</v>
      </c>
      <c r="C959" s="1">
        <f>IF(Param!$B$9=1,DbExcel!C959,DbWservice!C959)</f>
        <v>0</v>
      </c>
      <c r="D959" s="1">
        <f>IF(Param!$B$9=1,DbExcel!D959,DbWservice!D959)</f>
        <v>0</v>
      </c>
    </row>
    <row r="960" spans="1:4" x14ac:dyDescent="0.25">
      <c r="A960" s="1">
        <f>IF(Param!$B$9=1,DbExcel!A960,DbWservice!A960)</f>
        <v>0</v>
      </c>
      <c r="B960" s="1">
        <f>IF(Param!$B$9=1,DbExcel!B960,DbWservice!B960)</f>
        <v>0</v>
      </c>
      <c r="C960" s="1">
        <f>IF(Param!$B$9=1,DbExcel!C960,DbWservice!C960)</f>
        <v>0</v>
      </c>
      <c r="D960" s="1">
        <f>IF(Param!$B$9=1,DbExcel!D960,DbWservice!D960)</f>
        <v>0</v>
      </c>
    </row>
    <row r="961" spans="1:4" x14ac:dyDescent="0.25">
      <c r="A961" s="1">
        <f>IF(Param!$B$9=1,DbExcel!A961,DbWservice!A961)</f>
        <v>0</v>
      </c>
      <c r="B961" s="1">
        <f>IF(Param!$B$9=1,DbExcel!B961,DbWservice!B961)</f>
        <v>0</v>
      </c>
      <c r="C961" s="1">
        <f>IF(Param!$B$9=1,DbExcel!C961,DbWservice!C961)</f>
        <v>0</v>
      </c>
      <c r="D961" s="1">
        <f>IF(Param!$B$9=1,DbExcel!D961,DbWservice!D961)</f>
        <v>0</v>
      </c>
    </row>
    <row r="962" spans="1:4" x14ac:dyDescent="0.25">
      <c r="A962" s="1">
        <f>IF(Param!$B$9=1,DbExcel!A962,DbWservice!A962)</f>
        <v>0</v>
      </c>
      <c r="B962" s="1">
        <f>IF(Param!$B$9=1,DbExcel!B962,DbWservice!B962)</f>
        <v>0</v>
      </c>
      <c r="C962" s="1">
        <f>IF(Param!$B$9=1,DbExcel!C962,DbWservice!C962)</f>
        <v>0</v>
      </c>
      <c r="D962" s="1">
        <f>IF(Param!$B$9=1,DbExcel!D962,DbWservice!D962)</f>
        <v>0</v>
      </c>
    </row>
    <row r="963" spans="1:4" x14ac:dyDescent="0.25">
      <c r="A963" s="1">
        <f>IF(Param!$B$9=1,DbExcel!A963,DbWservice!A963)</f>
        <v>0</v>
      </c>
      <c r="B963" s="1">
        <f>IF(Param!$B$9=1,DbExcel!B963,DbWservice!B963)</f>
        <v>0</v>
      </c>
      <c r="C963" s="1">
        <f>IF(Param!$B$9=1,DbExcel!C963,DbWservice!C963)</f>
        <v>0</v>
      </c>
      <c r="D963" s="1">
        <f>IF(Param!$B$9=1,DbExcel!D963,DbWservice!D963)</f>
        <v>0</v>
      </c>
    </row>
    <row r="964" spans="1:4" x14ac:dyDescent="0.25">
      <c r="A964" s="1">
        <f>IF(Param!$B$9=1,DbExcel!A964,DbWservice!A964)</f>
        <v>0</v>
      </c>
      <c r="B964" s="1">
        <f>IF(Param!$B$9=1,DbExcel!B964,DbWservice!B964)</f>
        <v>0</v>
      </c>
      <c r="C964" s="1">
        <f>IF(Param!$B$9=1,DbExcel!C964,DbWservice!C964)</f>
        <v>0</v>
      </c>
      <c r="D964" s="1">
        <f>IF(Param!$B$9=1,DbExcel!D964,DbWservice!D964)</f>
        <v>0</v>
      </c>
    </row>
    <row r="965" spans="1:4" x14ac:dyDescent="0.25">
      <c r="A965" s="1">
        <f>IF(Param!$B$9=1,DbExcel!A965,DbWservice!A965)</f>
        <v>0</v>
      </c>
      <c r="B965" s="1">
        <f>IF(Param!$B$9=1,DbExcel!B965,DbWservice!B965)</f>
        <v>0</v>
      </c>
      <c r="C965" s="1">
        <f>IF(Param!$B$9=1,DbExcel!C965,DbWservice!C965)</f>
        <v>0</v>
      </c>
      <c r="D965" s="1">
        <f>IF(Param!$B$9=1,DbExcel!D965,DbWservice!D965)</f>
        <v>0</v>
      </c>
    </row>
    <row r="966" spans="1:4" x14ac:dyDescent="0.25">
      <c r="A966" s="1">
        <f>IF(Param!$B$9=1,DbExcel!A966,DbWservice!A966)</f>
        <v>0</v>
      </c>
      <c r="B966" s="1">
        <f>IF(Param!$B$9=1,DbExcel!B966,DbWservice!B966)</f>
        <v>0</v>
      </c>
      <c r="C966" s="1">
        <f>IF(Param!$B$9=1,DbExcel!C966,DbWservice!C966)</f>
        <v>0</v>
      </c>
      <c r="D966" s="1">
        <f>IF(Param!$B$9=1,DbExcel!D966,DbWservice!D966)</f>
        <v>0</v>
      </c>
    </row>
    <row r="967" spans="1:4" x14ac:dyDescent="0.25">
      <c r="A967" s="1">
        <f>IF(Param!$B$9=1,DbExcel!A967,DbWservice!A967)</f>
        <v>0</v>
      </c>
      <c r="B967" s="1">
        <f>IF(Param!$B$9=1,DbExcel!B967,DbWservice!B967)</f>
        <v>0</v>
      </c>
      <c r="C967" s="1">
        <f>IF(Param!$B$9=1,DbExcel!C967,DbWservice!C967)</f>
        <v>0</v>
      </c>
      <c r="D967" s="1">
        <f>IF(Param!$B$9=1,DbExcel!D967,DbWservice!D967)</f>
        <v>0</v>
      </c>
    </row>
    <row r="968" spans="1:4" x14ac:dyDescent="0.25">
      <c r="A968" s="1">
        <f>IF(Param!$B$9=1,DbExcel!A968,DbWservice!A968)</f>
        <v>0</v>
      </c>
      <c r="B968" s="1">
        <f>IF(Param!$B$9=1,DbExcel!B968,DbWservice!B968)</f>
        <v>0</v>
      </c>
      <c r="C968" s="1">
        <f>IF(Param!$B$9=1,DbExcel!C968,DbWservice!C968)</f>
        <v>0</v>
      </c>
      <c r="D968" s="1">
        <f>IF(Param!$B$9=1,DbExcel!D968,DbWservice!D968)</f>
        <v>0</v>
      </c>
    </row>
    <row r="969" spans="1:4" x14ac:dyDescent="0.25">
      <c r="A969" s="1">
        <f>IF(Param!$B$9=1,DbExcel!A969,DbWservice!A969)</f>
        <v>0</v>
      </c>
      <c r="B969" s="1">
        <f>IF(Param!$B$9=1,DbExcel!B969,DbWservice!B969)</f>
        <v>0</v>
      </c>
      <c r="C969" s="1">
        <f>IF(Param!$B$9=1,DbExcel!C969,DbWservice!C969)</f>
        <v>0</v>
      </c>
      <c r="D969" s="1">
        <f>IF(Param!$B$9=1,DbExcel!D969,DbWservice!D969)</f>
        <v>0</v>
      </c>
    </row>
    <row r="970" spans="1:4" x14ac:dyDescent="0.25">
      <c r="A970" s="1">
        <f>IF(Param!$B$9=1,DbExcel!A970,DbWservice!A970)</f>
        <v>0</v>
      </c>
      <c r="B970" s="1">
        <f>IF(Param!$B$9=1,DbExcel!B970,DbWservice!B970)</f>
        <v>0</v>
      </c>
      <c r="C970" s="1">
        <f>IF(Param!$B$9=1,DbExcel!C970,DbWservice!C970)</f>
        <v>0</v>
      </c>
      <c r="D970" s="1">
        <f>IF(Param!$B$9=1,DbExcel!D970,DbWservice!D970)</f>
        <v>0</v>
      </c>
    </row>
    <row r="971" spans="1:4" x14ac:dyDescent="0.25">
      <c r="A971" s="1">
        <f>IF(Param!$B$9=1,DbExcel!A971,DbWservice!A971)</f>
        <v>0</v>
      </c>
      <c r="B971" s="1">
        <f>IF(Param!$B$9=1,DbExcel!B971,DbWservice!B971)</f>
        <v>0</v>
      </c>
      <c r="C971" s="1">
        <f>IF(Param!$B$9=1,DbExcel!C971,DbWservice!C971)</f>
        <v>0</v>
      </c>
      <c r="D971" s="1">
        <f>IF(Param!$B$9=1,DbExcel!D971,DbWservice!D971)</f>
        <v>0</v>
      </c>
    </row>
    <row r="972" spans="1:4" x14ac:dyDescent="0.25">
      <c r="A972" s="1">
        <f>IF(Param!$B$9=1,DbExcel!A972,DbWservice!A972)</f>
        <v>0</v>
      </c>
      <c r="B972" s="1">
        <f>IF(Param!$B$9=1,DbExcel!B972,DbWservice!B972)</f>
        <v>0</v>
      </c>
      <c r="C972" s="1">
        <f>IF(Param!$B$9=1,DbExcel!C972,DbWservice!C972)</f>
        <v>0</v>
      </c>
      <c r="D972" s="1">
        <f>IF(Param!$B$9=1,DbExcel!D972,DbWservice!D972)</f>
        <v>0</v>
      </c>
    </row>
    <row r="973" spans="1:4" x14ac:dyDescent="0.25">
      <c r="A973" s="1">
        <f>IF(Param!$B$9=1,DbExcel!A973,DbWservice!A973)</f>
        <v>0</v>
      </c>
      <c r="B973" s="1">
        <f>IF(Param!$B$9=1,DbExcel!B973,DbWservice!B973)</f>
        <v>0</v>
      </c>
      <c r="C973" s="1">
        <f>IF(Param!$B$9=1,DbExcel!C973,DbWservice!C973)</f>
        <v>0</v>
      </c>
      <c r="D973" s="1">
        <f>IF(Param!$B$9=1,DbExcel!D973,DbWservice!D973)</f>
        <v>0</v>
      </c>
    </row>
    <row r="974" spans="1:4" x14ac:dyDescent="0.25">
      <c r="A974" s="1">
        <f>IF(Param!$B$9=1,DbExcel!A974,DbWservice!A974)</f>
        <v>0</v>
      </c>
      <c r="B974" s="1">
        <f>IF(Param!$B$9=1,DbExcel!B974,DbWservice!B974)</f>
        <v>0</v>
      </c>
      <c r="C974" s="1">
        <f>IF(Param!$B$9=1,DbExcel!C974,DbWservice!C974)</f>
        <v>0</v>
      </c>
      <c r="D974" s="1">
        <f>IF(Param!$B$9=1,DbExcel!D974,DbWservice!D974)</f>
        <v>0</v>
      </c>
    </row>
    <row r="975" spans="1:4" x14ac:dyDescent="0.25">
      <c r="A975" s="1">
        <f>IF(Param!$B$9=1,DbExcel!A975,DbWservice!A975)</f>
        <v>0</v>
      </c>
      <c r="B975" s="1">
        <f>IF(Param!$B$9=1,DbExcel!B975,DbWservice!B975)</f>
        <v>0</v>
      </c>
      <c r="C975" s="1">
        <f>IF(Param!$B$9=1,DbExcel!C975,DbWservice!C975)</f>
        <v>0</v>
      </c>
      <c r="D975" s="1">
        <f>IF(Param!$B$9=1,DbExcel!D975,DbWservice!D975)</f>
        <v>0</v>
      </c>
    </row>
    <row r="976" spans="1:4" x14ac:dyDescent="0.25">
      <c r="A976" s="1">
        <f>IF(Param!$B$9=1,DbExcel!A976,DbWservice!A976)</f>
        <v>0</v>
      </c>
      <c r="B976" s="1">
        <f>IF(Param!$B$9=1,DbExcel!B976,DbWservice!B976)</f>
        <v>0</v>
      </c>
      <c r="C976" s="1">
        <f>IF(Param!$B$9=1,DbExcel!C976,DbWservice!C976)</f>
        <v>0</v>
      </c>
      <c r="D976" s="1">
        <f>IF(Param!$B$9=1,DbExcel!D976,DbWservice!D976)</f>
        <v>0</v>
      </c>
    </row>
    <row r="977" spans="1:4" x14ac:dyDescent="0.25">
      <c r="A977" s="1">
        <f>IF(Param!$B$9=1,DbExcel!A977,DbWservice!A977)</f>
        <v>0</v>
      </c>
      <c r="B977" s="1">
        <f>IF(Param!$B$9=1,DbExcel!B977,DbWservice!B977)</f>
        <v>0</v>
      </c>
      <c r="C977" s="1">
        <f>IF(Param!$B$9=1,DbExcel!C977,DbWservice!C977)</f>
        <v>0</v>
      </c>
      <c r="D977" s="1">
        <f>IF(Param!$B$9=1,DbExcel!D977,DbWservice!D977)</f>
        <v>0</v>
      </c>
    </row>
    <row r="978" spans="1:4" x14ac:dyDescent="0.25">
      <c r="A978" s="1">
        <f>IF(Param!$B$9=1,DbExcel!A978,DbWservice!A978)</f>
        <v>0</v>
      </c>
      <c r="B978" s="1">
        <f>IF(Param!$B$9=1,DbExcel!B978,DbWservice!B978)</f>
        <v>0</v>
      </c>
      <c r="C978" s="1">
        <f>IF(Param!$B$9=1,DbExcel!C978,DbWservice!C978)</f>
        <v>0</v>
      </c>
      <c r="D978" s="1">
        <f>IF(Param!$B$9=1,DbExcel!D978,DbWservice!D978)</f>
        <v>0</v>
      </c>
    </row>
    <row r="979" spans="1:4" x14ac:dyDescent="0.25">
      <c r="A979" s="1">
        <f>IF(Param!$B$9=1,DbExcel!A979,DbWservice!A979)</f>
        <v>0</v>
      </c>
      <c r="B979" s="1">
        <f>IF(Param!$B$9=1,DbExcel!B979,DbWservice!B979)</f>
        <v>0</v>
      </c>
      <c r="C979" s="1">
        <f>IF(Param!$B$9=1,DbExcel!C979,DbWservice!C979)</f>
        <v>0</v>
      </c>
      <c r="D979" s="1">
        <f>IF(Param!$B$9=1,DbExcel!D979,DbWservice!D979)</f>
        <v>0</v>
      </c>
    </row>
    <row r="980" spans="1:4" x14ac:dyDescent="0.25">
      <c r="A980" s="1">
        <f>IF(Param!$B$9=1,DbExcel!A980,DbWservice!A980)</f>
        <v>0</v>
      </c>
      <c r="B980" s="1">
        <f>IF(Param!$B$9=1,DbExcel!B980,DbWservice!B980)</f>
        <v>0</v>
      </c>
      <c r="C980" s="1">
        <f>IF(Param!$B$9=1,DbExcel!C980,DbWservice!C980)</f>
        <v>0</v>
      </c>
      <c r="D980" s="1">
        <f>IF(Param!$B$9=1,DbExcel!D980,DbWservice!D980)</f>
        <v>0</v>
      </c>
    </row>
    <row r="981" spans="1:4" x14ac:dyDescent="0.25">
      <c r="A981" s="1">
        <f>IF(Param!$B$9=1,DbExcel!A981,DbWservice!A981)</f>
        <v>0</v>
      </c>
      <c r="B981" s="1">
        <f>IF(Param!$B$9=1,DbExcel!B981,DbWservice!B981)</f>
        <v>0</v>
      </c>
      <c r="C981" s="1">
        <f>IF(Param!$B$9=1,DbExcel!C981,DbWservice!C981)</f>
        <v>0</v>
      </c>
      <c r="D981" s="1">
        <f>IF(Param!$B$9=1,DbExcel!D981,DbWservice!D981)</f>
        <v>0</v>
      </c>
    </row>
    <row r="982" spans="1:4" x14ac:dyDescent="0.25">
      <c r="A982" s="1">
        <f>IF(Param!$B$9=1,DbExcel!A982,DbWservice!A982)</f>
        <v>0</v>
      </c>
      <c r="B982" s="1">
        <f>IF(Param!$B$9=1,DbExcel!B982,DbWservice!B982)</f>
        <v>0</v>
      </c>
      <c r="C982" s="1">
        <f>IF(Param!$B$9=1,DbExcel!C982,DbWservice!C982)</f>
        <v>0</v>
      </c>
      <c r="D982" s="1">
        <f>IF(Param!$B$9=1,DbExcel!D982,DbWservice!D982)</f>
        <v>0</v>
      </c>
    </row>
    <row r="983" spans="1:4" x14ac:dyDescent="0.25">
      <c r="A983" s="1">
        <f>IF(Param!$B$9=1,DbExcel!A983,DbWservice!A983)</f>
        <v>0</v>
      </c>
      <c r="B983" s="1">
        <f>IF(Param!$B$9=1,DbExcel!B983,DbWservice!B983)</f>
        <v>0</v>
      </c>
      <c r="C983" s="1">
        <f>IF(Param!$B$9=1,DbExcel!C983,DbWservice!C983)</f>
        <v>0</v>
      </c>
      <c r="D983" s="1">
        <f>IF(Param!$B$9=1,DbExcel!D983,DbWservice!D983)</f>
        <v>0</v>
      </c>
    </row>
    <row r="984" spans="1:4" x14ac:dyDescent="0.25">
      <c r="A984" s="1">
        <f>IF(Param!$B$9=1,DbExcel!A984,DbWservice!A984)</f>
        <v>0</v>
      </c>
      <c r="B984" s="1">
        <f>IF(Param!$B$9=1,DbExcel!B984,DbWservice!B984)</f>
        <v>0</v>
      </c>
      <c r="C984" s="1">
        <f>IF(Param!$B$9=1,DbExcel!C984,DbWservice!C984)</f>
        <v>0</v>
      </c>
      <c r="D984" s="1">
        <f>IF(Param!$B$9=1,DbExcel!D984,DbWservice!D984)</f>
        <v>0</v>
      </c>
    </row>
    <row r="985" spans="1:4" x14ac:dyDescent="0.25">
      <c r="A985" s="1">
        <f>IF(Param!$B$9=1,DbExcel!A985,DbWservice!A985)</f>
        <v>0</v>
      </c>
      <c r="B985" s="1">
        <f>IF(Param!$B$9=1,DbExcel!B985,DbWservice!B985)</f>
        <v>0</v>
      </c>
      <c r="C985" s="1">
        <f>IF(Param!$B$9=1,DbExcel!C985,DbWservice!C985)</f>
        <v>0</v>
      </c>
      <c r="D985" s="1">
        <f>IF(Param!$B$9=1,DbExcel!D985,DbWservice!D985)</f>
        <v>0</v>
      </c>
    </row>
    <row r="986" spans="1:4" x14ac:dyDescent="0.25">
      <c r="A986" s="1">
        <f>IF(Param!$B$9=1,DbExcel!A986,DbWservice!A986)</f>
        <v>0</v>
      </c>
      <c r="B986" s="1">
        <f>IF(Param!$B$9=1,DbExcel!B986,DbWservice!B986)</f>
        <v>0</v>
      </c>
      <c r="C986" s="1">
        <f>IF(Param!$B$9=1,DbExcel!C986,DbWservice!C986)</f>
        <v>0</v>
      </c>
      <c r="D986" s="1">
        <f>IF(Param!$B$9=1,DbExcel!D986,DbWservice!D986)</f>
        <v>0</v>
      </c>
    </row>
    <row r="987" spans="1:4" x14ac:dyDescent="0.25">
      <c r="A987" s="1">
        <f>IF(Param!$B$9=1,DbExcel!A987,DbWservice!A987)</f>
        <v>0</v>
      </c>
      <c r="B987" s="1">
        <f>IF(Param!$B$9=1,DbExcel!B987,DbWservice!B987)</f>
        <v>0</v>
      </c>
      <c r="C987" s="1">
        <f>IF(Param!$B$9=1,DbExcel!C987,DbWservice!C987)</f>
        <v>0</v>
      </c>
      <c r="D987" s="1">
        <f>IF(Param!$B$9=1,DbExcel!D987,DbWservice!D987)</f>
        <v>0</v>
      </c>
    </row>
    <row r="988" spans="1:4" x14ac:dyDescent="0.25">
      <c r="A988" s="1">
        <f>IF(Param!$B$9=1,DbExcel!A988,DbWservice!A988)</f>
        <v>0</v>
      </c>
      <c r="B988" s="1">
        <f>IF(Param!$B$9=1,DbExcel!B988,DbWservice!B988)</f>
        <v>0</v>
      </c>
      <c r="C988" s="1">
        <f>IF(Param!$B$9=1,DbExcel!C988,DbWservice!C988)</f>
        <v>0</v>
      </c>
      <c r="D988" s="1">
        <f>IF(Param!$B$9=1,DbExcel!D988,DbWservice!D988)</f>
        <v>0</v>
      </c>
    </row>
    <row r="989" spans="1:4" x14ac:dyDescent="0.25">
      <c r="A989" s="1">
        <f>IF(Param!$B$9=1,DbExcel!A989,DbWservice!A989)</f>
        <v>0</v>
      </c>
      <c r="B989" s="1">
        <f>IF(Param!$B$9=1,DbExcel!B989,DbWservice!B989)</f>
        <v>0</v>
      </c>
      <c r="C989" s="1">
        <f>IF(Param!$B$9=1,DbExcel!C989,DbWservice!C989)</f>
        <v>0</v>
      </c>
      <c r="D989" s="1">
        <f>IF(Param!$B$9=1,DbExcel!D989,DbWservice!D989)</f>
        <v>0</v>
      </c>
    </row>
    <row r="990" spans="1:4" x14ac:dyDescent="0.25">
      <c r="A990" s="1">
        <f>IF(Param!$B$9=1,DbExcel!A990,DbWservice!A990)</f>
        <v>0</v>
      </c>
      <c r="B990" s="1">
        <f>IF(Param!$B$9=1,DbExcel!B990,DbWservice!B990)</f>
        <v>0</v>
      </c>
      <c r="C990" s="1">
        <f>IF(Param!$B$9=1,DbExcel!C990,DbWservice!C990)</f>
        <v>0</v>
      </c>
      <c r="D990" s="1">
        <f>IF(Param!$B$9=1,DbExcel!D990,DbWservice!D990)</f>
        <v>0</v>
      </c>
    </row>
    <row r="991" spans="1:4" x14ac:dyDescent="0.25">
      <c r="A991" s="1">
        <f>IF(Param!$B$9=1,DbExcel!A991,DbWservice!A991)</f>
        <v>0</v>
      </c>
      <c r="B991" s="1">
        <f>IF(Param!$B$9=1,DbExcel!B991,DbWservice!B991)</f>
        <v>0</v>
      </c>
      <c r="C991" s="1">
        <f>IF(Param!$B$9=1,DbExcel!C991,DbWservice!C991)</f>
        <v>0</v>
      </c>
      <c r="D991" s="1">
        <f>IF(Param!$B$9=1,DbExcel!D991,DbWservice!D991)</f>
        <v>0</v>
      </c>
    </row>
    <row r="992" spans="1:4" x14ac:dyDescent="0.25">
      <c r="A992" s="1">
        <f>IF(Param!$B$9=1,DbExcel!A992,DbWservice!A992)</f>
        <v>0</v>
      </c>
      <c r="B992" s="1">
        <f>IF(Param!$B$9=1,DbExcel!B992,DbWservice!B992)</f>
        <v>0</v>
      </c>
      <c r="C992" s="1">
        <f>IF(Param!$B$9=1,DbExcel!C992,DbWservice!C992)</f>
        <v>0</v>
      </c>
      <c r="D992" s="1">
        <f>IF(Param!$B$9=1,DbExcel!D992,DbWservice!D992)</f>
        <v>0</v>
      </c>
    </row>
    <row r="993" spans="1:4" x14ac:dyDescent="0.25">
      <c r="A993" s="1">
        <f>IF(Param!$B$9=1,DbExcel!A993,DbWservice!A993)</f>
        <v>0</v>
      </c>
      <c r="B993" s="1">
        <f>IF(Param!$B$9=1,DbExcel!B993,DbWservice!B993)</f>
        <v>0</v>
      </c>
      <c r="C993" s="1">
        <f>IF(Param!$B$9=1,DbExcel!C993,DbWservice!C993)</f>
        <v>0</v>
      </c>
      <c r="D993" s="1">
        <f>IF(Param!$B$9=1,DbExcel!D993,DbWservice!D993)</f>
        <v>0</v>
      </c>
    </row>
    <row r="994" spans="1:4" x14ac:dyDescent="0.25">
      <c r="A994" s="1">
        <f>IF(Param!$B$9=1,DbExcel!A994,DbWservice!A994)</f>
        <v>0</v>
      </c>
      <c r="B994" s="1">
        <f>IF(Param!$B$9=1,DbExcel!B994,DbWservice!B994)</f>
        <v>0</v>
      </c>
      <c r="C994" s="1">
        <f>IF(Param!$B$9=1,DbExcel!C994,DbWservice!C994)</f>
        <v>0</v>
      </c>
      <c r="D994" s="1">
        <f>IF(Param!$B$9=1,DbExcel!D994,DbWservice!D994)</f>
        <v>0</v>
      </c>
    </row>
    <row r="995" spans="1:4" x14ac:dyDescent="0.25">
      <c r="A995" s="1">
        <f>IF(Param!$B$9=1,DbExcel!A995,DbWservice!A995)</f>
        <v>0</v>
      </c>
      <c r="B995" s="1">
        <f>IF(Param!$B$9=1,DbExcel!B995,DbWservice!B995)</f>
        <v>0</v>
      </c>
      <c r="C995" s="1">
        <f>IF(Param!$B$9=1,DbExcel!C995,DbWservice!C995)</f>
        <v>0</v>
      </c>
      <c r="D995" s="1">
        <f>IF(Param!$B$9=1,DbExcel!D995,DbWservice!D995)</f>
        <v>0</v>
      </c>
    </row>
    <row r="996" spans="1:4" x14ac:dyDescent="0.25">
      <c r="A996" s="1">
        <f>IF(Param!$B$9=1,DbExcel!A996,DbWservice!A996)</f>
        <v>0</v>
      </c>
      <c r="B996" s="1">
        <f>IF(Param!$B$9=1,DbExcel!B996,DbWservice!B996)</f>
        <v>0</v>
      </c>
      <c r="C996" s="1">
        <f>IF(Param!$B$9=1,DbExcel!C996,DbWservice!C996)</f>
        <v>0</v>
      </c>
      <c r="D996" s="1">
        <f>IF(Param!$B$9=1,DbExcel!D996,DbWservice!D996)</f>
        <v>0</v>
      </c>
    </row>
    <row r="997" spans="1:4" x14ac:dyDescent="0.25">
      <c r="A997" s="1">
        <f>IF(Param!$B$9=1,DbExcel!A997,DbWservice!A997)</f>
        <v>0</v>
      </c>
      <c r="B997" s="1">
        <f>IF(Param!$B$9=1,DbExcel!B997,DbWservice!B997)</f>
        <v>0</v>
      </c>
      <c r="C997" s="1">
        <f>IF(Param!$B$9=1,DbExcel!C997,DbWservice!C997)</f>
        <v>0</v>
      </c>
      <c r="D997" s="1">
        <f>IF(Param!$B$9=1,DbExcel!D997,DbWservice!D997)</f>
        <v>0</v>
      </c>
    </row>
    <row r="998" spans="1:4" x14ac:dyDescent="0.25">
      <c r="A998" s="1">
        <f>IF(Param!$B$9=1,DbExcel!A998,DbWservice!A998)</f>
        <v>0</v>
      </c>
      <c r="B998" s="1">
        <f>IF(Param!$B$9=1,DbExcel!B998,DbWservice!B998)</f>
        <v>0</v>
      </c>
      <c r="C998" s="1">
        <f>IF(Param!$B$9=1,DbExcel!C998,DbWservice!C998)</f>
        <v>0</v>
      </c>
      <c r="D998" s="1">
        <f>IF(Param!$B$9=1,DbExcel!D998,DbWservice!D998)</f>
        <v>0</v>
      </c>
    </row>
    <row r="999" spans="1:4" x14ac:dyDescent="0.25">
      <c r="A999" s="1">
        <f>IF(Param!$B$9=1,DbExcel!A999,DbWservice!A999)</f>
        <v>0</v>
      </c>
      <c r="B999" s="1">
        <f>IF(Param!$B$9=1,DbExcel!B999,DbWservice!B999)</f>
        <v>0</v>
      </c>
      <c r="C999" s="1">
        <f>IF(Param!$B$9=1,DbExcel!C999,DbWservice!C999)</f>
        <v>0</v>
      </c>
      <c r="D999" s="1">
        <f>IF(Param!$B$9=1,DbExcel!D999,DbWservice!D999)</f>
        <v>0</v>
      </c>
    </row>
    <row r="1000" spans="1:4" x14ac:dyDescent="0.25">
      <c r="A1000" s="1">
        <f>IF(Param!$B$9=1,DbExcel!A1000,DbWservice!A1000)</f>
        <v>0</v>
      </c>
      <c r="B1000" s="1">
        <f>IF(Param!$B$9=1,DbExcel!B1000,DbWservice!B1000)</f>
        <v>0</v>
      </c>
      <c r="C1000" s="1">
        <f>IF(Param!$B$9=1,DbExcel!C1000,DbWservice!C1000)</f>
        <v>0</v>
      </c>
      <c r="D1000" s="1">
        <f>IF(Param!$B$9=1,DbExcel!D1000,DbWservice!D1000)</f>
        <v>0</v>
      </c>
    </row>
    <row r="1001" spans="1:4" x14ac:dyDescent="0.25">
      <c r="A1001" s="1">
        <f>IF(Param!$B$9=1,DbExcel!A1001,DbWservice!A1001)</f>
        <v>0</v>
      </c>
      <c r="B1001" s="1">
        <f>IF(Param!$B$9=1,DbExcel!B1001,DbWservice!B1001)</f>
        <v>0</v>
      </c>
      <c r="C1001" s="1">
        <f>IF(Param!$B$9=1,DbExcel!C1001,DbWservice!C1001)</f>
        <v>0</v>
      </c>
      <c r="D1001" s="1">
        <f>IF(Param!$B$9=1,DbExcel!D1001,DbWservice!D1001)</f>
        <v>0</v>
      </c>
    </row>
    <row r="1002" spans="1:4" x14ac:dyDescent="0.25">
      <c r="A1002" s="1">
        <f>IF(Param!$B$9=1,DbExcel!A1002,DbWservice!A1002)</f>
        <v>0</v>
      </c>
      <c r="B1002" s="1">
        <f>IF(Param!$B$9=1,DbExcel!B1002,DbWservice!B1002)</f>
        <v>0</v>
      </c>
      <c r="C1002" s="1">
        <f>IF(Param!$B$9=1,DbExcel!C1002,DbWservice!C1002)</f>
        <v>0</v>
      </c>
      <c r="D1002" s="1">
        <f>IF(Param!$B$9=1,DbExcel!D1002,DbWservice!D1002)</f>
        <v>0</v>
      </c>
    </row>
    <row r="1003" spans="1:4" x14ac:dyDescent="0.25">
      <c r="A1003" s="1">
        <f>IF(Param!$B$9=1,DbExcel!A1003,DbWservice!A1003)</f>
        <v>0</v>
      </c>
      <c r="B1003" s="1">
        <f>IF(Param!$B$9=1,DbExcel!B1003,DbWservice!B1003)</f>
        <v>0</v>
      </c>
      <c r="C1003" s="1">
        <f>IF(Param!$B$9=1,DbExcel!C1003,DbWservice!C1003)</f>
        <v>0</v>
      </c>
      <c r="D1003" s="1">
        <f>IF(Param!$B$9=1,DbExcel!D1003,DbWservice!D1003)</f>
        <v>0</v>
      </c>
    </row>
    <row r="1004" spans="1:4" x14ac:dyDescent="0.25">
      <c r="A1004" s="1">
        <f>IF(Param!$B$9=1,DbExcel!A1004,DbWservice!A1004)</f>
        <v>0</v>
      </c>
      <c r="B1004" s="1">
        <f>IF(Param!$B$9=1,DbExcel!B1004,DbWservice!B1004)</f>
        <v>0</v>
      </c>
      <c r="C1004" s="1">
        <f>IF(Param!$B$9=1,DbExcel!C1004,DbWservice!C1004)</f>
        <v>0</v>
      </c>
      <c r="D1004" s="1">
        <f>IF(Param!$B$9=1,DbExcel!D1004,DbWservice!D1004)</f>
        <v>0</v>
      </c>
    </row>
    <row r="1005" spans="1:4" x14ac:dyDescent="0.25">
      <c r="A1005" s="1">
        <f>IF(Param!$B$9=1,DbExcel!A1005,DbWservice!A1005)</f>
        <v>0</v>
      </c>
      <c r="B1005" s="1">
        <f>IF(Param!$B$9=1,DbExcel!B1005,DbWservice!B1005)</f>
        <v>0</v>
      </c>
      <c r="C1005" s="1">
        <f>IF(Param!$B$9=1,DbExcel!C1005,DbWservice!C1005)</f>
        <v>0</v>
      </c>
      <c r="D1005" s="1">
        <f>IF(Param!$B$9=1,DbExcel!D1005,DbWservice!D1005)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E16"/>
  <sheetViews>
    <sheetView workbookViewId="0">
      <selection sqref="A1:A2"/>
    </sheetView>
  </sheetViews>
  <sheetFormatPr defaultRowHeight="15" x14ac:dyDescent="0.25"/>
  <cols>
    <col min="1" max="1" width="9.140625" style="1"/>
    <col min="2" max="2" width="10.7109375" style="32" bestFit="1" customWidth="1"/>
    <col min="3" max="3" width="7.7109375" style="1" bestFit="1" customWidth="1"/>
    <col min="4" max="4" width="10.28515625" style="38" bestFit="1" customWidth="1"/>
    <col min="5" max="16384" width="9.140625" style="1"/>
  </cols>
  <sheetData>
    <row r="1" spans="1:5" ht="18.75" x14ac:dyDescent="0.3">
      <c r="A1" s="3" t="str">
        <f>Param!A1</f>
        <v>Example Services Ltd.</v>
      </c>
    </row>
    <row r="2" spans="1:5" x14ac:dyDescent="0.25">
      <c r="A2" s="1" t="s">
        <v>41</v>
      </c>
    </row>
    <row r="4" spans="1:5" x14ac:dyDescent="0.25">
      <c r="A4" s="4" t="s">
        <v>0</v>
      </c>
      <c r="B4" s="30" t="s">
        <v>1</v>
      </c>
      <c r="C4" s="4" t="s">
        <v>2</v>
      </c>
      <c r="D4" s="31" t="s">
        <v>3</v>
      </c>
    </row>
    <row r="5" spans="1:5" x14ac:dyDescent="0.25">
      <c r="A5" s="1">
        <v>1</v>
      </c>
      <c r="B5" s="32">
        <v>42737</v>
      </c>
      <c r="C5" s="1" t="s">
        <v>4</v>
      </c>
      <c r="D5" s="38">
        <v>2800</v>
      </c>
    </row>
    <row r="6" spans="1:5" x14ac:dyDescent="0.25">
      <c r="A6" s="1">
        <v>2</v>
      </c>
      <c r="B6" s="32">
        <v>42746</v>
      </c>
      <c r="C6" s="1" t="s">
        <v>5</v>
      </c>
      <c r="D6" s="38">
        <v>3300</v>
      </c>
    </row>
    <row r="7" spans="1:5" x14ac:dyDescent="0.25">
      <c r="A7" s="1">
        <v>3</v>
      </c>
      <c r="B7" s="32">
        <v>42755</v>
      </c>
      <c r="C7" s="1" t="s">
        <v>6</v>
      </c>
      <c r="D7" s="38">
        <v>500</v>
      </c>
    </row>
    <row r="8" spans="1:5" x14ac:dyDescent="0.25">
      <c r="A8" s="1">
        <v>4</v>
      </c>
      <c r="B8" s="32">
        <v>42765</v>
      </c>
      <c r="C8" s="1" t="s">
        <v>7</v>
      </c>
      <c r="D8" s="38">
        <v>3700</v>
      </c>
    </row>
    <row r="9" spans="1:5" x14ac:dyDescent="0.25">
      <c r="A9" s="1">
        <v>5</v>
      </c>
      <c r="B9" s="32">
        <v>42773</v>
      </c>
      <c r="C9" s="1" t="s">
        <v>4</v>
      </c>
      <c r="D9" s="38">
        <v>3800</v>
      </c>
      <c r="E9" s="14"/>
    </row>
    <row r="10" spans="1:5" x14ac:dyDescent="0.25">
      <c r="A10" s="1">
        <v>6</v>
      </c>
      <c r="B10" s="32">
        <v>42782</v>
      </c>
      <c r="C10" s="1" t="s">
        <v>8</v>
      </c>
      <c r="D10" s="39">
        <v>3600</v>
      </c>
    </row>
    <row r="11" spans="1:5" x14ac:dyDescent="0.25">
      <c r="A11" s="1">
        <v>7</v>
      </c>
      <c r="B11" s="32">
        <v>42782</v>
      </c>
      <c r="C11" s="1" t="s">
        <v>9</v>
      </c>
      <c r="D11" s="38">
        <v>3000</v>
      </c>
    </row>
    <row r="12" spans="1:5" x14ac:dyDescent="0.25">
      <c r="A12" s="1">
        <v>8</v>
      </c>
      <c r="B12" s="32">
        <v>42786</v>
      </c>
      <c r="C12" s="1" t="s">
        <v>6</v>
      </c>
      <c r="D12" s="38">
        <v>500</v>
      </c>
    </row>
    <row r="13" spans="1:5" x14ac:dyDescent="0.25">
      <c r="A13" s="1">
        <v>9</v>
      </c>
      <c r="B13" s="32">
        <v>42795</v>
      </c>
      <c r="C13" s="1" t="s">
        <v>4</v>
      </c>
      <c r="D13" s="38">
        <v>3500</v>
      </c>
    </row>
    <row r="14" spans="1:5" x14ac:dyDescent="0.25">
      <c r="A14" s="1">
        <v>10</v>
      </c>
      <c r="B14" s="32">
        <v>42804</v>
      </c>
      <c r="C14" s="1" t="s">
        <v>10</v>
      </c>
      <c r="D14" s="38">
        <v>3700</v>
      </c>
    </row>
    <row r="15" spans="1:5" x14ac:dyDescent="0.25">
      <c r="A15" s="1">
        <v>11</v>
      </c>
      <c r="B15" s="32">
        <v>42814</v>
      </c>
      <c r="C15" s="1" t="s">
        <v>6</v>
      </c>
      <c r="D15" s="38">
        <v>1100</v>
      </c>
    </row>
    <row r="16" spans="1:5" x14ac:dyDescent="0.25">
      <c r="A16" s="1">
        <v>12</v>
      </c>
      <c r="B16" s="32">
        <v>42821</v>
      </c>
      <c r="C16" s="1" t="s">
        <v>13</v>
      </c>
      <c r="D16" s="38">
        <v>2900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6"/>
  <sheetViews>
    <sheetView workbookViewId="0">
      <selection activeCell="B6" sqref="B6"/>
    </sheetView>
  </sheetViews>
  <sheetFormatPr defaultRowHeight="15" x14ac:dyDescent="0.25"/>
  <cols>
    <col min="1" max="1" width="8.85546875" style="46" customWidth="1"/>
    <col min="2" max="2" width="39.85546875" style="46" bestFit="1" customWidth="1"/>
    <col min="3" max="3" width="9.85546875" style="46" customWidth="1"/>
    <col min="4" max="11" width="6" style="46" bestFit="1" customWidth="1"/>
    <col min="12" max="14" width="7" style="46" bestFit="1" customWidth="1"/>
    <col min="15" max="16384" width="9.140625" style="46"/>
  </cols>
  <sheetData>
    <row r="1" spans="1:14" ht="18.75" x14ac:dyDescent="0.3">
      <c r="A1" s="3" t="str">
        <f>Param!A1</f>
        <v>Example Services Ltd.</v>
      </c>
    </row>
    <row r="2" spans="1:14" ht="15.75" x14ac:dyDescent="0.25">
      <c r="A2" s="6" t="s">
        <v>67</v>
      </c>
    </row>
    <row r="5" spans="1:14" x14ac:dyDescent="0.25">
      <c r="A5" s="49" t="s">
        <v>71</v>
      </c>
      <c r="B5" s="49" t="s">
        <v>72</v>
      </c>
      <c r="C5" s="50">
        <v>1</v>
      </c>
      <c r="D5" s="50">
        <v>2</v>
      </c>
      <c r="E5" s="50">
        <v>3</v>
      </c>
      <c r="F5" s="50">
        <v>4</v>
      </c>
      <c r="G5" s="50">
        <v>5</v>
      </c>
      <c r="H5" s="50">
        <v>6</v>
      </c>
      <c r="I5" s="50">
        <v>7</v>
      </c>
      <c r="J5" s="50">
        <v>8</v>
      </c>
      <c r="K5" s="50">
        <v>9</v>
      </c>
      <c r="L5" s="50">
        <v>10</v>
      </c>
      <c r="M5" s="50">
        <v>11</v>
      </c>
      <c r="N5" s="50">
        <v>12</v>
      </c>
    </row>
    <row r="6" spans="1:14" x14ac:dyDescent="0.25">
      <c r="A6" s="51">
        <v>1</v>
      </c>
      <c r="B6" s="51" t="s">
        <v>75</v>
      </c>
      <c r="C6" s="52">
        <f>$C$25/(1+EXP(-$C$26*(C5-$C$24)))</f>
        <v>6.6928509242848554E-3</v>
      </c>
      <c r="D6" s="52">
        <f t="shared" ref="D6:N6" si="0">$C$25/(1+EXP(-$C$26*(D5-$C$24)))</f>
        <v>1.7986209962091559E-2</v>
      </c>
      <c r="E6" s="52">
        <f t="shared" si="0"/>
        <v>4.7425873177566781E-2</v>
      </c>
      <c r="F6" s="52">
        <f t="shared" si="0"/>
        <v>0.11920292202211755</v>
      </c>
      <c r="G6" s="52">
        <f t="shared" si="0"/>
        <v>0.2689414213699951</v>
      </c>
      <c r="H6" s="52">
        <f t="shared" si="0"/>
        <v>0.5</v>
      </c>
      <c r="I6" s="52">
        <f t="shared" si="0"/>
        <v>0.7310585786300049</v>
      </c>
      <c r="J6" s="52">
        <f t="shared" si="0"/>
        <v>0.88079707797788231</v>
      </c>
      <c r="K6" s="52">
        <f t="shared" si="0"/>
        <v>0.95257412682243336</v>
      </c>
      <c r="L6" s="52">
        <f t="shared" si="0"/>
        <v>0.98201379003790845</v>
      </c>
      <c r="M6" s="52">
        <f t="shared" si="0"/>
        <v>0.99330714907571527</v>
      </c>
      <c r="N6" s="52">
        <f t="shared" si="0"/>
        <v>0.99752737684336534</v>
      </c>
    </row>
    <row r="7" spans="1:14" x14ac:dyDescent="0.25">
      <c r="A7" s="46">
        <v>2</v>
      </c>
      <c r="B7" s="46" t="s">
        <v>78</v>
      </c>
      <c r="C7" s="47">
        <f>C6</f>
        <v>6.6928509242848554E-3</v>
      </c>
      <c r="D7" s="47">
        <f>C7+D6</f>
        <v>2.4679060886376412E-2</v>
      </c>
      <c r="E7" s="47">
        <f t="shared" ref="E7:N7" si="1">D7+E6</f>
        <v>7.2104934063943193E-2</v>
      </c>
      <c r="F7" s="47">
        <f t="shared" si="1"/>
        <v>0.19130785608606074</v>
      </c>
      <c r="G7" s="47">
        <f t="shared" si="1"/>
        <v>0.46024927745605582</v>
      </c>
      <c r="H7" s="47">
        <f t="shared" si="1"/>
        <v>0.96024927745605582</v>
      </c>
      <c r="I7" s="47">
        <f t="shared" si="1"/>
        <v>1.6913078560860608</v>
      </c>
      <c r="J7" s="47">
        <f t="shared" si="1"/>
        <v>2.572104934063943</v>
      </c>
      <c r="K7" s="47">
        <f t="shared" si="1"/>
        <v>3.5246790608863763</v>
      </c>
      <c r="L7" s="47">
        <f t="shared" si="1"/>
        <v>4.506692850924285</v>
      </c>
      <c r="M7" s="47">
        <f t="shared" si="1"/>
        <v>5.5</v>
      </c>
      <c r="N7" s="47">
        <f t="shared" si="1"/>
        <v>6.4975273768433652</v>
      </c>
    </row>
    <row r="22" spans="1:3" x14ac:dyDescent="0.25">
      <c r="A22" s="4" t="s">
        <v>73</v>
      </c>
    </row>
    <row r="23" spans="1:3" x14ac:dyDescent="0.25">
      <c r="A23" s="46" t="s">
        <v>81</v>
      </c>
      <c r="B23" s="46" t="s">
        <v>77</v>
      </c>
    </row>
    <row r="24" spans="1:3" x14ac:dyDescent="0.25">
      <c r="A24" s="46" t="s">
        <v>68</v>
      </c>
      <c r="B24" s="53" t="s">
        <v>79</v>
      </c>
      <c r="C24" s="46">
        <v>6</v>
      </c>
    </row>
    <row r="25" spans="1:3" x14ac:dyDescent="0.25">
      <c r="A25" s="46" t="s">
        <v>69</v>
      </c>
      <c r="B25" s="53" t="s">
        <v>80</v>
      </c>
      <c r="C25" s="38">
        <v>1</v>
      </c>
    </row>
    <row r="26" spans="1:3" x14ac:dyDescent="0.25">
      <c r="A26" s="46" t="s">
        <v>70</v>
      </c>
      <c r="B26" s="48" t="s">
        <v>76</v>
      </c>
      <c r="C26" s="46">
        <v>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/>
  <dimension ref="A1:D1005"/>
  <sheetViews>
    <sheetView workbookViewId="0">
      <selection activeCell="H12" sqref="H12"/>
    </sheetView>
  </sheetViews>
  <sheetFormatPr defaultRowHeight="15" x14ac:dyDescent="0.25"/>
  <cols>
    <col min="1" max="1" width="9.140625" style="34"/>
    <col min="2" max="2" width="10.7109375" style="34" bestFit="1" customWidth="1"/>
    <col min="3" max="3" width="9.140625" style="34"/>
    <col min="4" max="4" width="9.5703125" style="44" bestFit="1" customWidth="1"/>
    <col min="5" max="16384" width="9.140625" style="34"/>
  </cols>
  <sheetData>
    <row r="1" spans="1:4" ht="18.75" x14ac:dyDescent="0.3">
      <c r="A1" s="33" t="str">
        <f>Param!B5</f>
        <v>Example Services Ltd.</v>
      </c>
    </row>
    <row r="2" spans="1:4" x14ac:dyDescent="0.25">
      <c r="A2" s="34" t="s">
        <v>38</v>
      </c>
    </row>
    <row r="4" spans="1:4" x14ac:dyDescent="0.25">
      <c r="A4" s="35" t="s">
        <v>0</v>
      </c>
      <c r="B4" s="36" t="s">
        <v>1</v>
      </c>
      <c r="C4" s="35" t="s">
        <v>2</v>
      </c>
      <c r="D4" s="37" t="s">
        <v>3</v>
      </c>
    </row>
    <row r="5" spans="1:4" x14ac:dyDescent="0.25">
      <c r="A5"/>
      <c r="B5" s="45"/>
      <c r="C5"/>
      <c r="D5"/>
    </row>
    <row r="6" spans="1:4" x14ac:dyDescent="0.25">
      <c r="A6"/>
      <c r="B6" s="45"/>
      <c r="C6"/>
      <c r="D6"/>
    </row>
    <row r="7" spans="1:4" x14ac:dyDescent="0.25">
      <c r="A7"/>
      <c r="B7" s="45"/>
      <c r="C7"/>
      <c r="D7"/>
    </row>
    <row r="8" spans="1:4" x14ac:dyDescent="0.25">
      <c r="A8"/>
      <c r="B8" s="45"/>
      <c r="C8"/>
      <c r="D8"/>
    </row>
    <row r="9" spans="1:4" x14ac:dyDescent="0.25">
      <c r="A9"/>
      <c r="B9" s="45"/>
      <c r="C9"/>
      <c r="D9"/>
    </row>
    <row r="10" spans="1:4" x14ac:dyDescent="0.25">
      <c r="A10"/>
      <c r="B10" s="45"/>
      <c r="C10"/>
      <c r="D10"/>
    </row>
    <row r="11" spans="1:4" x14ac:dyDescent="0.25">
      <c r="A11"/>
      <c r="B11" s="45"/>
      <c r="C11"/>
      <c r="D11"/>
    </row>
    <row r="12" spans="1:4" x14ac:dyDescent="0.25">
      <c r="A12"/>
      <c r="B12" s="45"/>
      <c r="C12"/>
      <c r="D12"/>
    </row>
    <row r="13" spans="1:4" x14ac:dyDescent="0.25">
      <c r="A13"/>
      <c r="B13" s="45"/>
      <c r="C13"/>
      <c r="D13"/>
    </row>
    <row r="14" spans="1:4" x14ac:dyDescent="0.25">
      <c r="A14"/>
      <c r="B14" s="45"/>
      <c r="C14"/>
      <c r="D14"/>
    </row>
    <row r="15" spans="1:4" x14ac:dyDescent="0.25">
      <c r="A15"/>
      <c r="B15" s="45"/>
      <c r="C15"/>
      <c r="D15"/>
    </row>
    <row r="16" spans="1:4" x14ac:dyDescent="0.25">
      <c r="A16"/>
      <c r="B16" s="45"/>
      <c r="C16"/>
      <c r="D16"/>
    </row>
    <row r="17" spans="1:4" x14ac:dyDescent="0.25">
      <c r="A17"/>
      <c r="B17"/>
      <c r="C17"/>
      <c r="D17"/>
    </row>
    <row r="18" spans="1:4" x14ac:dyDescent="0.25">
      <c r="A18"/>
      <c r="B18"/>
      <c r="C18"/>
      <c r="D18"/>
    </row>
    <row r="19" spans="1:4" x14ac:dyDescent="0.25">
      <c r="A19"/>
      <c r="B19"/>
      <c r="C19"/>
      <c r="D19"/>
    </row>
    <row r="20" spans="1:4" x14ac:dyDescent="0.25">
      <c r="A20"/>
      <c r="B20"/>
      <c r="C20"/>
      <c r="D20"/>
    </row>
    <row r="21" spans="1:4" x14ac:dyDescent="0.25">
      <c r="A21"/>
      <c r="B21"/>
      <c r="C21"/>
      <c r="D21"/>
    </row>
    <row r="22" spans="1:4" x14ac:dyDescent="0.25">
      <c r="A22"/>
      <c r="B22"/>
      <c r="C22"/>
      <c r="D22"/>
    </row>
    <row r="23" spans="1:4" x14ac:dyDescent="0.25">
      <c r="A23"/>
      <c r="B23"/>
      <c r="C23"/>
      <c r="D23"/>
    </row>
    <row r="24" spans="1:4" x14ac:dyDescent="0.25">
      <c r="A24"/>
      <c r="B24"/>
      <c r="C24"/>
      <c r="D24"/>
    </row>
    <row r="25" spans="1:4" x14ac:dyDescent="0.25">
      <c r="A25"/>
      <c r="B25"/>
      <c r="C25"/>
      <c r="D25"/>
    </row>
    <row r="26" spans="1:4" x14ac:dyDescent="0.25">
      <c r="A26"/>
      <c r="B26"/>
      <c r="C26"/>
      <c r="D26"/>
    </row>
    <row r="27" spans="1:4" x14ac:dyDescent="0.25">
      <c r="A27"/>
      <c r="B27"/>
      <c r="C27"/>
      <c r="D27"/>
    </row>
    <row r="28" spans="1:4" x14ac:dyDescent="0.25">
      <c r="A28"/>
      <c r="B28"/>
      <c r="C28"/>
      <c r="D28"/>
    </row>
    <row r="29" spans="1:4" x14ac:dyDescent="0.25">
      <c r="A29"/>
      <c r="B29"/>
      <c r="C29"/>
      <c r="D29"/>
    </row>
    <row r="30" spans="1:4" x14ac:dyDescent="0.25">
      <c r="A30"/>
      <c r="B30"/>
      <c r="C30"/>
      <c r="D30"/>
    </row>
    <row r="31" spans="1:4" x14ac:dyDescent="0.25">
      <c r="A31"/>
      <c r="B31"/>
      <c r="C31"/>
      <c r="D31"/>
    </row>
    <row r="32" spans="1:4" x14ac:dyDescent="0.25">
      <c r="A32"/>
      <c r="B32"/>
      <c r="C32"/>
      <c r="D32"/>
    </row>
    <row r="33" spans="1:4" x14ac:dyDescent="0.25">
      <c r="A33"/>
      <c r="B33"/>
      <c r="C33"/>
      <c r="D33"/>
    </row>
    <row r="34" spans="1:4" x14ac:dyDescent="0.25">
      <c r="A34"/>
      <c r="B34"/>
      <c r="C34"/>
      <c r="D34"/>
    </row>
    <row r="35" spans="1:4" x14ac:dyDescent="0.25">
      <c r="A35"/>
      <c r="B35"/>
      <c r="C35"/>
      <c r="D35"/>
    </row>
    <row r="36" spans="1:4" x14ac:dyDescent="0.25">
      <c r="A36"/>
      <c r="B36"/>
      <c r="C36"/>
      <c r="D36"/>
    </row>
    <row r="37" spans="1:4" x14ac:dyDescent="0.25">
      <c r="A37"/>
      <c r="B37"/>
      <c r="C37"/>
      <c r="D37"/>
    </row>
    <row r="38" spans="1:4" x14ac:dyDescent="0.25">
      <c r="A38"/>
      <c r="B38"/>
      <c r="C38"/>
      <c r="D38"/>
    </row>
    <row r="39" spans="1:4" x14ac:dyDescent="0.25">
      <c r="A39"/>
      <c r="B39"/>
      <c r="C39"/>
      <c r="D39"/>
    </row>
    <row r="40" spans="1:4" x14ac:dyDescent="0.25">
      <c r="A40"/>
      <c r="B40"/>
      <c r="C40"/>
      <c r="D40"/>
    </row>
    <row r="41" spans="1:4" x14ac:dyDescent="0.25">
      <c r="A41"/>
      <c r="B41"/>
      <c r="C41"/>
      <c r="D41"/>
    </row>
    <row r="42" spans="1:4" x14ac:dyDescent="0.25">
      <c r="A42"/>
      <c r="B42"/>
      <c r="C42"/>
      <c r="D42"/>
    </row>
    <row r="43" spans="1:4" x14ac:dyDescent="0.25">
      <c r="A43"/>
      <c r="B43"/>
      <c r="C43"/>
      <c r="D43"/>
    </row>
    <row r="44" spans="1:4" x14ac:dyDescent="0.25">
      <c r="A44"/>
      <c r="B44"/>
      <c r="C44"/>
      <c r="D44"/>
    </row>
    <row r="45" spans="1:4" x14ac:dyDescent="0.25">
      <c r="A45"/>
      <c r="B45"/>
      <c r="C45"/>
      <c r="D45"/>
    </row>
    <row r="46" spans="1:4" x14ac:dyDescent="0.25">
      <c r="A46"/>
      <c r="B46"/>
      <c r="C46"/>
      <c r="D46"/>
    </row>
    <row r="47" spans="1:4" x14ac:dyDescent="0.25">
      <c r="A47"/>
      <c r="B47"/>
      <c r="C47"/>
      <c r="D47"/>
    </row>
    <row r="48" spans="1:4" x14ac:dyDescent="0.25">
      <c r="A48"/>
      <c r="B48"/>
      <c r="C48"/>
      <c r="D48"/>
    </row>
    <row r="49" spans="1:4" x14ac:dyDescent="0.25">
      <c r="A49"/>
      <c r="B49"/>
      <c r="C49"/>
      <c r="D49"/>
    </row>
    <row r="50" spans="1:4" x14ac:dyDescent="0.25">
      <c r="A50"/>
      <c r="B50"/>
      <c r="C50"/>
      <c r="D50"/>
    </row>
    <row r="51" spans="1:4" x14ac:dyDescent="0.25">
      <c r="A51"/>
      <c r="B51"/>
      <c r="C51"/>
      <c r="D51"/>
    </row>
    <row r="52" spans="1:4" x14ac:dyDescent="0.25">
      <c r="A52"/>
      <c r="B52"/>
      <c r="C52"/>
      <c r="D52"/>
    </row>
    <row r="53" spans="1:4" x14ac:dyDescent="0.25">
      <c r="A53"/>
      <c r="B53"/>
      <c r="C53"/>
      <c r="D53"/>
    </row>
    <row r="54" spans="1:4" x14ac:dyDescent="0.25">
      <c r="A54"/>
      <c r="B54"/>
      <c r="C54"/>
      <c r="D54"/>
    </row>
    <row r="55" spans="1:4" x14ac:dyDescent="0.25">
      <c r="A55"/>
      <c r="B55"/>
      <c r="C55"/>
      <c r="D55"/>
    </row>
    <row r="56" spans="1:4" x14ac:dyDescent="0.25">
      <c r="A56"/>
      <c r="B56"/>
      <c r="C56"/>
      <c r="D56"/>
    </row>
    <row r="57" spans="1:4" x14ac:dyDescent="0.25">
      <c r="A57"/>
      <c r="B57"/>
      <c r="C57"/>
      <c r="D57"/>
    </row>
    <row r="58" spans="1:4" x14ac:dyDescent="0.25">
      <c r="A58"/>
      <c r="B58"/>
      <c r="C58"/>
      <c r="D58"/>
    </row>
    <row r="59" spans="1:4" x14ac:dyDescent="0.25">
      <c r="A59"/>
      <c r="B59"/>
      <c r="C59"/>
      <c r="D59"/>
    </row>
    <row r="60" spans="1:4" x14ac:dyDescent="0.25">
      <c r="A60"/>
      <c r="B60"/>
      <c r="C60"/>
      <c r="D60"/>
    </row>
    <row r="61" spans="1:4" x14ac:dyDescent="0.25">
      <c r="A61"/>
      <c r="B61"/>
      <c r="C61"/>
      <c r="D61"/>
    </row>
    <row r="62" spans="1:4" x14ac:dyDescent="0.25">
      <c r="A62"/>
      <c r="B62"/>
      <c r="C62"/>
      <c r="D62"/>
    </row>
    <row r="63" spans="1:4" x14ac:dyDescent="0.25">
      <c r="A63"/>
      <c r="B63"/>
      <c r="C63"/>
      <c r="D63"/>
    </row>
    <row r="64" spans="1:4" x14ac:dyDescent="0.25">
      <c r="A64"/>
      <c r="B64"/>
      <c r="C64"/>
      <c r="D64"/>
    </row>
    <row r="65" spans="1:4" x14ac:dyDescent="0.25">
      <c r="A65"/>
      <c r="B65"/>
      <c r="C65"/>
      <c r="D65"/>
    </row>
    <row r="66" spans="1:4" x14ac:dyDescent="0.25">
      <c r="A66"/>
      <c r="B66"/>
      <c r="C66"/>
      <c r="D66"/>
    </row>
    <row r="67" spans="1:4" x14ac:dyDescent="0.25">
      <c r="A67"/>
      <c r="B67"/>
      <c r="C67"/>
      <c r="D67"/>
    </row>
    <row r="68" spans="1:4" x14ac:dyDescent="0.25">
      <c r="A68"/>
      <c r="B68"/>
      <c r="C68"/>
      <c r="D68"/>
    </row>
    <row r="69" spans="1:4" x14ac:dyDescent="0.25">
      <c r="A69"/>
      <c r="B69"/>
      <c r="C69"/>
      <c r="D69"/>
    </row>
    <row r="70" spans="1:4" x14ac:dyDescent="0.25">
      <c r="A70"/>
      <c r="B70"/>
      <c r="C70"/>
      <c r="D70"/>
    </row>
    <row r="71" spans="1:4" x14ac:dyDescent="0.25">
      <c r="A71"/>
      <c r="B71"/>
      <c r="C71"/>
      <c r="D71"/>
    </row>
    <row r="72" spans="1:4" x14ac:dyDescent="0.25">
      <c r="A72"/>
      <c r="B72"/>
      <c r="C72"/>
      <c r="D72"/>
    </row>
    <row r="73" spans="1:4" x14ac:dyDescent="0.25">
      <c r="A73"/>
      <c r="B73"/>
      <c r="C73"/>
      <c r="D73"/>
    </row>
    <row r="74" spans="1:4" x14ac:dyDescent="0.25">
      <c r="A74"/>
      <c r="B74"/>
      <c r="C74"/>
      <c r="D74"/>
    </row>
    <row r="75" spans="1:4" x14ac:dyDescent="0.25">
      <c r="A75"/>
      <c r="B75"/>
      <c r="C75"/>
      <c r="D75"/>
    </row>
    <row r="76" spans="1:4" x14ac:dyDescent="0.25">
      <c r="A76"/>
      <c r="B76"/>
      <c r="C76"/>
      <c r="D76"/>
    </row>
    <row r="77" spans="1:4" x14ac:dyDescent="0.25">
      <c r="A77"/>
      <c r="B77"/>
      <c r="C77"/>
      <c r="D77"/>
    </row>
    <row r="78" spans="1:4" x14ac:dyDescent="0.25">
      <c r="A78"/>
      <c r="B78"/>
      <c r="C78"/>
      <c r="D78"/>
    </row>
    <row r="79" spans="1:4" x14ac:dyDescent="0.25">
      <c r="A79"/>
      <c r="B79"/>
      <c r="C79"/>
      <c r="D79"/>
    </row>
    <row r="80" spans="1:4" x14ac:dyDescent="0.25">
      <c r="A80"/>
      <c r="B80"/>
      <c r="C80"/>
      <c r="D80"/>
    </row>
    <row r="81" spans="1:4" x14ac:dyDescent="0.25">
      <c r="A81"/>
      <c r="B81"/>
      <c r="C81"/>
      <c r="D81"/>
    </row>
    <row r="82" spans="1:4" x14ac:dyDescent="0.25">
      <c r="A82"/>
      <c r="B82"/>
      <c r="C82"/>
      <c r="D82"/>
    </row>
    <row r="83" spans="1:4" x14ac:dyDescent="0.25">
      <c r="A83"/>
      <c r="B83"/>
      <c r="C83"/>
      <c r="D83"/>
    </row>
    <row r="84" spans="1:4" x14ac:dyDescent="0.25">
      <c r="A84"/>
      <c r="B84"/>
      <c r="C84"/>
      <c r="D84"/>
    </row>
    <row r="85" spans="1:4" x14ac:dyDescent="0.25">
      <c r="A85"/>
      <c r="B85"/>
      <c r="C85"/>
      <c r="D85"/>
    </row>
    <row r="86" spans="1:4" x14ac:dyDescent="0.25">
      <c r="A86"/>
      <c r="B86"/>
      <c r="C86"/>
      <c r="D86"/>
    </row>
    <row r="87" spans="1:4" x14ac:dyDescent="0.25">
      <c r="A87"/>
      <c r="B87"/>
      <c r="C87"/>
      <c r="D87"/>
    </row>
    <row r="88" spans="1:4" x14ac:dyDescent="0.25">
      <c r="A88"/>
      <c r="B88"/>
      <c r="C88"/>
      <c r="D88"/>
    </row>
    <row r="89" spans="1:4" x14ac:dyDescent="0.25">
      <c r="A89"/>
      <c r="B89"/>
      <c r="C89"/>
      <c r="D89"/>
    </row>
    <row r="90" spans="1:4" x14ac:dyDescent="0.25">
      <c r="A90"/>
      <c r="B90"/>
      <c r="C90"/>
      <c r="D90"/>
    </row>
    <row r="91" spans="1:4" x14ac:dyDescent="0.25">
      <c r="A91"/>
      <c r="B91"/>
      <c r="C91"/>
      <c r="D91"/>
    </row>
    <row r="92" spans="1:4" x14ac:dyDescent="0.25">
      <c r="A92"/>
      <c r="B92"/>
      <c r="C92"/>
      <c r="D92"/>
    </row>
    <row r="93" spans="1:4" x14ac:dyDescent="0.25">
      <c r="A93"/>
      <c r="B93"/>
      <c r="C93"/>
      <c r="D93"/>
    </row>
    <row r="94" spans="1:4" x14ac:dyDescent="0.25">
      <c r="A94"/>
      <c r="B94"/>
      <c r="C94"/>
      <c r="D94"/>
    </row>
    <row r="95" spans="1:4" x14ac:dyDescent="0.25">
      <c r="A95"/>
      <c r="B95"/>
      <c r="C95"/>
      <c r="D95"/>
    </row>
    <row r="96" spans="1:4" x14ac:dyDescent="0.25">
      <c r="A96"/>
      <c r="B96"/>
      <c r="C96"/>
      <c r="D96"/>
    </row>
    <row r="97" spans="1:4" x14ac:dyDescent="0.25">
      <c r="A97"/>
      <c r="B97"/>
      <c r="C97"/>
      <c r="D97"/>
    </row>
    <row r="98" spans="1:4" x14ac:dyDescent="0.25">
      <c r="A98"/>
      <c r="B98"/>
      <c r="C98"/>
      <c r="D98"/>
    </row>
    <row r="99" spans="1:4" x14ac:dyDescent="0.25">
      <c r="A99"/>
      <c r="B99"/>
      <c r="C99"/>
      <c r="D99"/>
    </row>
    <row r="100" spans="1:4" x14ac:dyDescent="0.25">
      <c r="A100"/>
      <c r="B100"/>
      <c r="C100"/>
      <c r="D100"/>
    </row>
    <row r="101" spans="1:4" x14ac:dyDescent="0.25">
      <c r="A101"/>
      <c r="B101"/>
      <c r="C101"/>
      <c r="D101"/>
    </row>
    <row r="102" spans="1:4" x14ac:dyDescent="0.25">
      <c r="A102"/>
      <c r="B102"/>
      <c r="C102"/>
      <c r="D102"/>
    </row>
    <row r="103" spans="1:4" x14ac:dyDescent="0.25">
      <c r="A103"/>
      <c r="B103"/>
      <c r="C103"/>
      <c r="D103"/>
    </row>
    <row r="104" spans="1:4" x14ac:dyDescent="0.25">
      <c r="A104"/>
      <c r="B104"/>
      <c r="C104"/>
      <c r="D104"/>
    </row>
    <row r="105" spans="1:4" x14ac:dyDescent="0.25">
      <c r="A105"/>
      <c r="B105"/>
      <c r="C105"/>
      <c r="D105"/>
    </row>
    <row r="106" spans="1:4" x14ac:dyDescent="0.25">
      <c r="A106"/>
      <c r="B106"/>
      <c r="C106"/>
      <c r="D106"/>
    </row>
    <row r="107" spans="1:4" x14ac:dyDescent="0.25">
      <c r="A107"/>
      <c r="B107"/>
      <c r="C107"/>
      <c r="D107"/>
    </row>
    <row r="108" spans="1:4" x14ac:dyDescent="0.25">
      <c r="A108"/>
      <c r="B108"/>
      <c r="C108"/>
      <c r="D108"/>
    </row>
    <row r="109" spans="1:4" x14ac:dyDescent="0.25">
      <c r="A109"/>
      <c r="B109"/>
      <c r="C109"/>
      <c r="D109"/>
    </row>
    <row r="110" spans="1:4" x14ac:dyDescent="0.25">
      <c r="A110"/>
      <c r="B110"/>
      <c r="C110"/>
      <c r="D110"/>
    </row>
    <row r="111" spans="1:4" x14ac:dyDescent="0.25">
      <c r="A111"/>
      <c r="B111"/>
      <c r="C111"/>
      <c r="D111"/>
    </row>
    <row r="112" spans="1:4" x14ac:dyDescent="0.25">
      <c r="A112"/>
      <c r="B112"/>
      <c r="C112"/>
      <c r="D112"/>
    </row>
    <row r="113" spans="1:4" x14ac:dyDescent="0.25">
      <c r="A113"/>
      <c r="B113"/>
      <c r="C113"/>
      <c r="D113"/>
    </row>
    <row r="114" spans="1:4" x14ac:dyDescent="0.25">
      <c r="A114"/>
      <c r="B114"/>
      <c r="C114"/>
      <c r="D114"/>
    </row>
    <row r="115" spans="1:4" x14ac:dyDescent="0.25">
      <c r="A115"/>
      <c r="B115"/>
      <c r="C115"/>
      <c r="D115"/>
    </row>
    <row r="116" spans="1:4" x14ac:dyDescent="0.25">
      <c r="A116"/>
      <c r="B116"/>
      <c r="C116"/>
      <c r="D116"/>
    </row>
    <row r="117" spans="1:4" x14ac:dyDescent="0.25">
      <c r="A117"/>
      <c r="B117"/>
      <c r="C117"/>
      <c r="D117"/>
    </row>
    <row r="118" spans="1:4" x14ac:dyDescent="0.25">
      <c r="A118"/>
      <c r="B118"/>
      <c r="C118"/>
      <c r="D118"/>
    </row>
    <row r="119" spans="1:4" x14ac:dyDescent="0.25">
      <c r="A119"/>
      <c r="B119"/>
      <c r="C119"/>
      <c r="D119"/>
    </row>
    <row r="120" spans="1:4" x14ac:dyDescent="0.25">
      <c r="A120"/>
      <c r="B120"/>
      <c r="C120"/>
      <c r="D120"/>
    </row>
    <row r="121" spans="1:4" x14ac:dyDescent="0.25">
      <c r="A121"/>
      <c r="B121"/>
      <c r="C121"/>
      <c r="D121"/>
    </row>
    <row r="122" spans="1:4" x14ac:dyDescent="0.25">
      <c r="A122"/>
      <c r="B122"/>
      <c r="C122"/>
      <c r="D122"/>
    </row>
    <row r="123" spans="1:4" x14ac:dyDescent="0.25">
      <c r="A123"/>
      <c r="B123"/>
      <c r="C123"/>
      <c r="D123"/>
    </row>
    <row r="124" spans="1:4" x14ac:dyDescent="0.25">
      <c r="A124"/>
      <c r="B124"/>
      <c r="C124"/>
      <c r="D124"/>
    </row>
    <row r="125" spans="1:4" x14ac:dyDescent="0.25">
      <c r="A125"/>
      <c r="B125"/>
      <c r="C125"/>
      <c r="D125"/>
    </row>
    <row r="126" spans="1:4" x14ac:dyDescent="0.25">
      <c r="A126"/>
      <c r="B126"/>
      <c r="C126"/>
      <c r="D126"/>
    </row>
    <row r="127" spans="1:4" x14ac:dyDescent="0.25">
      <c r="A127"/>
      <c r="B127"/>
      <c r="C127"/>
      <c r="D127"/>
    </row>
    <row r="128" spans="1:4" x14ac:dyDescent="0.25">
      <c r="A128"/>
      <c r="B128"/>
      <c r="C128"/>
      <c r="D128"/>
    </row>
    <row r="129" spans="1:4" x14ac:dyDescent="0.25">
      <c r="A129"/>
      <c r="B129"/>
      <c r="C129"/>
      <c r="D129"/>
    </row>
    <row r="130" spans="1:4" x14ac:dyDescent="0.25">
      <c r="A130"/>
      <c r="B130"/>
      <c r="C130"/>
      <c r="D130"/>
    </row>
    <row r="131" spans="1:4" x14ac:dyDescent="0.25">
      <c r="A131"/>
      <c r="B131"/>
      <c r="C131"/>
      <c r="D131"/>
    </row>
    <row r="132" spans="1:4" x14ac:dyDescent="0.25">
      <c r="A132"/>
      <c r="B132"/>
      <c r="C132"/>
      <c r="D132"/>
    </row>
    <row r="133" spans="1:4" x14ac:dyDescent="0.25">
      <c r="A133"/>
      <c r="B133"/>
      <c r="C133"/>
      <c r="D133"/>
    </row>
    <row r="134" spans="1:4" x14ac:dyDescent="0.25">
      <c r="A134"/>
      <c r="B134"/>
      <c r="C134"/>
      <c r="D134"/>
    </row>
    <row r="135" spans="1:4" x14ac:dyDescent="0.25">
      <c r="A135"/>
      <c r="B135"/>
      <c r="C135"/>
      <c r="D135"/>
    </row>
    <row r="136" spans="1:4" x14ac:dyDescent="0.25">
      <c r="A136"/>
      <c r="B136"/>
      <c r="C136"/>
      <c r="D136"/>
    </row>
    <row r="137" spans="1:4" x14ac:dyDescent="0.25">
      <c r="A137"/>
      <c r="B137"/>
      <c r="C137"/>
      <c r="D137"/>
    </row>
    <row r="138" spans="1:4" x14ac:dyDescent="0.25">
      <c r="A138"/>
      <c r="B138"/>
      <c r="C138"/>
      <c r="D138"/>
    </row>
    <row r="139" spans="1:4" x14ac:dyDescent="0.25">
      <c r="A139"/>
      <c r="B139"/>
      <c r="C139"/>
      <c r="D139"/>
    </row>
    <row r="140" spans="1:4" x14ac:dyDescent="0.25">
      <c r="A140"/>
      <c r="B140"/>
      <c r="C140"/>
      <c r="D140"/>
    </row>
    <row r="141" spans="1:4" x14ac:dyDescent="0.25">
      <c r="A141"/>
      <c r="B141"/>
      <c r="C141"/>
      <c r="D141"/>
    </row>
    <row r="142" spans="1:4" x14ac:dyDescent="0.25">
      <c r="A142"/>
      <c r="B142"/>
      <c r="C142"/>
      <c r="D142"/>
    </row>
    <row r="143" spans="1:4" x14ac:dyDescent="0.25">
      <c r="A143"/>
      <c r="B143"/>
      <c r="C143"/>
      <c r="D143"/>
    </row>
    <row r="144" spans="1:4" x14ac:dyDescent="0.25">
      <c r="A144"/>
      <c r="B144"/>
      <c r="C144"/>
      <c r="D144"/>
    </row>
    <row r="145" spans="1:4" x14ac:dyDescent="0.25">
      <c r="A145"/>
      <c r="B145"/>
      <c r="C145"/>
      <c r="D145"/>
    </row>
    <row r="146" spans="1:4" x14ac:dyDescent="0.25">
      <c r="A146"/>
      <c r="B146"/>
      <c r="C146"/>
      <c r="D146"/>
    </row>
    <row r="147" spans="1:4" x14ac:dyDescent="0.25">
      <c r="A147"/>
      <c r="B147"/>
      <c r="C147"/>
      <c r="D147"/>
    </row>
    <row r="148" spans="1:4" x14ac:dyDescent="0.25">
      <c r="A148"/>
      <c r="B148"/>
      <c r="C148"/>
      <c r="D148"/>
    </row>
    <row r="149" spans="1:4" x14ac:dyDescent="0.25">
      <c r="A149"/>
      <c r="B149"/>
      <c r="C149"/>
      <c r="D149"/>
    </row>
    <row r="150" spans="1:4" x14ac:dyDescent="0.25">
      <c r="A150"/>
      <c r="B150"/>
      <c r="C150"/>
      <c r="D150"/>
    </row>
    <row r="151" spans="1:4" x14ac:dyDescent="0.25">
      <c r="A151"/>
      <c r="B151"/>
      <c r="C151"/>
      <c r="D151"/>
    </row>
    <row r="152" spans="1:4" x14ac:dyDescent="0.25">
      <c r="A152"/>
      <c r="B152"/>
      <c r="C152"/>
      <c r="D152"/>
    </row>
    <row r="153" spans="1:4" x14ac:dyDescent="0.25">
      <c r="A153"/>
      <c r="B153"/>
      <c r="C153"/>
      <c r="D153"/>
    </row>
    <row r="154" spans="1:4" x14ac:dyDescent="0.25">
      <c r="A154"/>
      <c r="B154"/>
      <c r="C154"/>
      <c r="D154"/>
    </row>
    <row r="155" spans="1:4" x14ac:dyDescent="0.25">
      <c r="A155"/>
      <c r="B155"/>
      <c r="C155"/>
      <c r="D155"/>
    </row>
    <row r="156" spans="1:4" x14ac:dyDescent="0.25">
      <c r="A156"/>
      <c r="B156"/>
      <c r="C156"/>
      <c r="D156"/>
    </row>
    <row r="157" spans="1:4" x14ac:dyDescent="0.25">
      <c r="A157"/>
      <c r="B157"/>
      <c r="C157"/>
      <c r="D157"/>
    </row>
    <row r="158" spans="1:4" x14ac:dyDescent="0.25">
      <c r="A158"/>
      <c r="B158"/>
      <c r="C158"/>
      <c r="D158"/>
    </row>
    <row r="159" spans="1:4" x14ac:dyDescent="0.25">
      <c r="A159"/>
      <c r="B159"/>
      <c r="C159"/>
      <c r="D159"/>
    </row>
    <row r="160" spans="1:4" x14ac:dyDescent="0.25">
      <c r="A160"/>
      <c r="B160"/>
      <c r="C160"/>
      <c r="D160"/>
    </row>
    <row r="161" spans="1:4" x14ac:dyDescent="0.25">
      <c r="A161"/>
      <c r="B161"/>
      <c r="C161"/>
      <c r="D161"/>
    </row>
    <row r="162" spans="1:4" x14ac:dyDescent="0.25">
      <c r="A162"/>
      <c r="B162"/>
      <c r="C162"/>
      <c r="D162"/>
    </row>
    <row r="163" spans="1:4" x14ac:dyDescent="0.25">
      <c r="A163"/>
      <c r="B163"/>
      <c r="C163"/>
      <c r="D163"/>
    </row>
    <row r="164" spans="1:4" x14ac:dyDescent="0.25">
      <c r="A164"/>
      <c r="B164"/>
      <c r="C164"/>
      <c r="D164"/>
    </row>
    <row r="165" spans="1:4" x14ac:dyDescent="0.25">
      <c r="A165"/>
      <c r="B165"/>
      <c r="C165"/>
      <c r="D165"/>
    </row>
    <row r="166" spans="1:4" x14ac:dyDescent="0.25">
      <c r="A166"/>
      <c r="B166"/>
      <c r="C166"/>
      <c r="D166"/>
    </row>
    <row r="167" spans="1:4" x14ac:dyDescent="0.25">
      <c r="A167"/>
      <c r="B167"/>
      <c r="C167"/>
      <c r="D167"/>
    </row>
    <row r="168" spans="1:4" x14ac:dyDescent="0.25">
      <c r="A168"/>
      <c r="B168"/>
      <c r="C168"/>
      <c r="D168"/>
    </row>
    <row r="169" spans="1:4" x14ac:dyDescent="0.25">
      <c r="A169"/>
      <c r="B169"/>
      <c r="C169"/>
      <c r="D169"/>
    </row>
    <row r="170" spans="1:4" x14ac:dyDescent="0.25">
      <c r="A170"/>
      <c r="B170"/>
      <c r="C170"/>
      <c r="D170"/>
    </row>
    <row r="171" spans="1:4" x14ac:dyDescent="0.25">
      <c r="A171"/>
      <c r="B171"/>
      <c r="C171"/>
      <c r="D171"/>
    </row>
    <row r="172" spans="1:4" x14ac:dyDescent="0.25">
      <c r="A172"/>
      <c r="B172"/>
      <c r="C172"/>
      <c r="D172"/>
    </row>
    <row r="173" spans="1:4" x14ac:dyDescent="0.25">
      <c r="A173"/>
      <c r="B173"/>
      <c r="C173"/>
      <c r="D173"/>
    </row>
    <row r="174" spans="1:4" x14ac:dyDescent="0.25">
      <c r="A174"/>
      <c r="B174"/>
      <c r="C174"/>
      <c r="D174"/>
    </row>
    <row r="175" spans="1:4" x14ac:dyDescent="0.25">
      <c r="A175"/>
      <c r="B175"/>
      <c r="C175"/>
      <c r="D175"/>
    </row>
    <row r="176" spans="1:4" x14ac:dyDescent="0.25">
      <c r="A176"/>
      <c r="B176"/>
      <c r="C176"/>
      <c r="D176"/>
    </row>
    <row r="177" spans="1:4" x14ac:dyDescent="0.25">
      <c r="A177"/>
      <c r="B177"/>
      <c r="C177"/>
      <c r="D177"/>
    </row>
    <row r="178" spans="1:4" x14ac:dyDescent="0.25">
      <c r="A178"/>
      <c r="B178"/>
      <c r="C178"/>
      <c r="D178"/>
    </row>
    <row r="179" spans="1:4" x14ac:dyDescent="0.25">
      <c r="A179"/>
      <c r="B179"/>
      <c r="C179"/>
      <c r="D179"/>
    </row>
    <row r="180" spans="1:4" x14ac:dyDescent="0.25">
      <c r="A180"/>
      <c r="B180"/>
      <c r="C180"/>
      <c r="D180"/>
    </row>
    <row r="181" spans="1:4" x14ac:dyDescent="0.25">
      <c r="A181"/>
      <c r="B181"/>
      <c r="C181"/>
      <c r="D181"/>
    </row>
    <row r="182" spans="1:4" x14ac:dyDescent="0.25">
      <c r="A182"/>
      <c r="B182"/>
      <c r="C182"/>
      <c r="D182"/>
    </row>
    <row r="183" spans="1:4" x14ac:dyDescent="0.25">
      <c r="A183"/>
      <c r="B183"/>
      <c r="C183"/>
      <c r="D183"/>
    </row>
    <row r="184" spans="1:4" x14ac:dyDescent="0.25">
      <c r="A184"/>
      <c r="B184"/>
      <c r="C184"/>
      <c r="D184"/>
    </row>
    <row r="185" spans="1:4" x14ac:dyDescent="0.25">
      <c r="A185"/>
      <c r="B185"/>
      <c r="C185"/>
      <c r="D185"/>
    </row>
    <row r="186" spans="1:4" x14ac:dyDescent="0.25">
      <c r="A186"/>
      <c r="B186"/>
      <c r="C186"/>
      <c r="D186"/>
    </row>
    <row r="187" spans="1:4" x14ac:dyDescent="0.25">
      <c r="A187"/>
      <c r="B187"/>
      <c r="C187"/>
      <c r="D187"/>
    </row>
    <row r="188" spans="1:4" x14ac:dyDescent="0.25">
      <c r="A188"/>
      <c r="B188"/>
      <c r="C188"/>
      <c r="D188"/>
    </row>
    <row r="189" spans="1:4" x14ac:dyDescent="0.25">
      <c r="A189"/>
      <c r="B189"/>
      <c r="C189"/>
      <c r="D189"/>
    </row>
    <row r="190" spans="1:4" x14ac:dyDescent="0.25">
      <c r="A190"/>
      <c r="B190"/>
      <c r="C190"/>
      <c r="D190"/>
    </row>
    <row r="191" spans="1:4" x14ac:dyDescent="0.25">
      <c r="A191"/>
      <c r="B191"/>
      <c r="C191"/>
      <c r="D191"/>
    </row>
    <row r="192" spans="1:4" x14ac:dyDescent="0.25">
      <c r="A192"/>
      <c r="B192"/>
      <c r="C192"/>
      <c r="D192"/>
    </row>
    <row r="193" spans="1:4" x14ac:dyDescent="0.25">
      <c r="A193"/>
      <c r="B193"/>
      <c r="C193"/>
      <c r="D193"/>
    </row>
    <row r="194" spans="1:4" x14ac:dyDescent="0.25">
      <c r="A194"/>
      <c r="B194"/>
      <c r="C194"/>
      <c r="D194"/>
    </row>
    <row r="195" spans="1:4" x14ac:dyDescent="0.25">
      <c r="A195"/>
      <c r="B195"/>
      <c r="C195"/>
      <c r="D195"/>
    </row>
    <row r="196" spans="1:4" x14ac:dyDescent="0.25">
      <c r="A196"/>
      <c r="B196"/>
      <c r="C196"/>
      <c r="D196"/>
    </row>
    <row r="197" spans="1:4" x14ac:dyDescent="0.25">
      <c r="A197"/>
      <c r="B197"/>
      <c r="C197"/>
      <c r="D197"/>
    </row>
    <row r="198" spans="1:4" x14ac:dyDescent="0.25">
      <c r="A198"/>
      <c r="B198"/>
      <c r="C198"/>
      <c r="D198"/>
    </row>
    <row r="199" spans="1:4" x14ac:dyDescent="0.25">
      <c r="A199"/>
      <c r="B199"/>
      <c r="C199"/>
      <c r="D199"/>
    </row>
    <row r="200" spans="1:4" x14ac:dyDescent="0.25">
      <c r="A200"/>
      <c r="B200"/>
      <c r="C200"/>
      <c r="D200"/>
    </row>
    <row r="201" spans="1:4" x14ac:dyDescent="0.25">
      <c r="A201"/>
      <c r="B201"/>
      <c r="C201"/>
      <c r="D201"/>
    </row>
    <row r="202" spans="1:4" x14ac:dyDescent="0.25">
      <c r="A202"/>
      <c r="B202"/>
      <c r="C202"/>
      <c r="D202"/>
    </row>
    <row r="203" spans="1:4" x14ac:dyDescent="0.25">
      <c r="A203"/>
      <c r="B203"/>
      <c r="C203"/>
      <c r="D203"/>
    </row>
    <row r="204" spans="1:4" x14ac:dyDescent="0.25">
      <c r="A204"/>
      <c r="B204"/>
      <c r="C204"/>
      <c r="D204"/>
    </row>
    <row r="205" spans="1:4" x14ac:dyDescent="0.25">
      <c r="A205"/>
      <c r="B205"/>
      <c r="C205"/>
      <c r="D205"/>
    </row>
    <row r="206" spans="1:4" x14ac:dyDescent="0.25">
      <c r="A206"/>
      <c r="B206"/>
      <c r="C206"/>
      <c r="D206"/>
    </row>
    <row r="207" spans="1:4" x14ac:dyDescent="0.25">
      <c r="A207"/>
      <c r="B207"/>
      <c r="C207"/>
      <c r="D207"/>
    </row>
    <row r="208" spans="1:4" x14ac:dyDescent="0.25">
      <c r="A208"/>
      <c r="B208"/>
      <c r="C208"/>
      <c r="D208"/>
    </row>
    <row r="209" spans="1:4" x14ac:dyDescent="0.25">
      <c r="A209"/>
      <c r="B209"/>
      <c r="C209"/>
      <c r="D209"/>
    </row>
    <row r="210" spans="1:4" x14ac:dyDescent="0.25">
      <c r="A210"/>
      <c r="B210"/>
      <c r="C210"/>
      <c r="D210"/>
    </row>
    <row r="211" spans="1:4" x14ac:dyDescent="0.25">
      <c r="A211"/>
      <c r="B211"/>
      <c r="C211"/>
      <c r="D211"/>
    </row>
    <row r="212" spans="1:4" x14ac:dyDescent="0.25">
      <c r="A212"/>
      <c r="B212"/>
      <c r="C212"/>
      <c r="D212"/>
    </row>
    <row r="213" spans="1:4" x14ac:dyDescent="0.25">
      <c r="A213"/>
      <c r="B213"/>
      <c r="C213"/>
      <c r="D213"/>
    </row>
    <row r="214" spans="1:4" x14ac:dyDescent="0.25">
      <c r="A214"/>
      <c r="B214"/>
      <c r="C214"/>
      <c r="D214"/>
    </row>
    <row r="215" spans="1:4" x14ac:dyDescent="0.25">
      <c r="A215"/>
      <c r="B215"/>
      <c r="C215"/>
      <c r="D215"/>
    </row>
    <row r="216" spans="1:4" x14ac:dyDescent="0.25">
      <c r="A216"/>
      <c r="B216"/>
      <c r="C216"/>
      <c r="D216"/>
    </row>
    <row r="217" spans="1:4" x14ac:dyDescent="0.25">
      <c r="A217"/>
      <c r="B217"/>
      <c r="C217"/>
      <c r="D217"/>
    </row>
    <row r="218" spans="1:4" x14ac:dyDescent="0.25">
      <c r="A218"/>
      <c r="B218"/>
      <c r="C218"/>
      <c r="D218"/>
    </row>
    <row r="219" spans="1:4" x14ac:dyDescent="0.25">
      <c r="A219"/>
      <c r="B219"/>
      <c r="C219"/>
      <c r="D219"/>
    </row>
    <row r="220" spans="1:4" x14ac:dyDescent="0.25">
      <c r="A220"/>
      <c r="B220"/>
      <c r="C220"/>
      <c r="D220"/>
    </row>
    <row r="221" spans="1:4" x14ac:dyDescent="0.25">
      <c r="A221"/>
      <c r="B221"/>
      <c r="C221"/>
      <c r="D221"/>
    </row>
    <row r="222" spans="1:4" x14ac:dyDescent="0.25">
      <c r="A222"/>
      <c r="B222"/>
      <c r="C222"/>
      <c r="D222"/>
    </row>
    <row r="223" spans="1:4" x14ac:dyDescent="0.25">
      <c r="A223"/>
      <c r="B223"/>
      <c r="C223"/>
      <c r="D223"/>
    </row>
    <row r="224" spans="1:4" x14ac:dyDescent="0.25">
      <c r="A224"/>
      <c r="B224"/>
      <c r="C224"/>
      <c r="D224"/>
    </row>
    <row r="225" spans="1:4" x14ac:dyDescent="0.25">
      <c r="A225"/>
      <c r="B225"/>
      <c r="C225"/>
      <c r="D225"/>
    </row>
    <row r="226" spans="1:4" x14ac:dyDescent="0.25">
      <c r="A226"/>
      <c r="B226"/>
      <c r="C226"/>
      <c r="D226"/>
    </row>
    <row r="227" spans="1:4" x14ac:dyDescent="0.25">
      <c r="A227"/>
      <c r="B227"/>
      <c r="C227"/>
      <c r="D227"/>
    </row>
    <row r="228" spans="1:4" x14ac:dyDescent="0.25">
      <c r="A228"/>
      <c r="B228"/>
      <c r="C228"/>
      <c r="D228"/>
    </row>
    <row r="229" spans="1:4" x14ac:dyDescent="0.25">
      <c r="A229"/>
      <c r="B229"/>
      <c r="C229"/>
      <c r="D229"/>
    </row>
    <row r="230" spans="1:4" x14ac:dyDescent="0.25">
      <c r="A230"/>
      <c r="B230"/>
      <c r="C230"/>
      <c r="D230"/>
    </row>
    <row r="231" spans="1:4" x14ac:dyDescent="0.25">
      <c r="A231"/>
      <c r="B231"/>
      <c r="C231"/>
      <c r="D231"/>
    </row>
    <row r="232" spans="1:4" x14ac:dyDescent="0.25">
      <c r="A232"/>
      <c r="B232"/>
      <c r="C232"/>
      <c r="D232"/>
    </row>
    <row r="233" spans="1:4" x14ac:dyDescent="0.25">
      <c r="A233"/>
      <c r="B233"/>
      <c r="C233"/>
      <c r="D233"/>
    </row>
    <row r="234" spans="1:4" x14ac:dyDescent="0.25">
      <c r="A234"/>
      <c r="B234"/>
      <c r="C234"/>
      <c r="D234"/>
    </row>
    <row r="235" spans="1:4" x14ac:dyDescent="0.25">
      <c r="A235"/>
      <c r="B235"/>
      <c r="C235"/>
      <c r="D235"/>
    </row>
    <row r="236" spans="1:4" x14ac:dyDescent="0.25">
      <c r="A236"/>
      <c r="B236"/>
      <c r="C236"/>
      <c r="D236"/>
    </row>
    <row r="237" spans="1:4" x14ac:dyDescent="0.25">
      <c r="A237"/>
      <c r="B237"/>
      <c r="C237"/>
      <c r="D237"/>
    </row>
    <row r="238" spans="1:4" x14ac:dyDescent="0.25">
      <c r="A238"/>
      <c r="B238"/>
      <c r="C238"/>
      <c r="D238"/>
    </row>
    <row r="239" spans="1:4" x14ac:dyDescent="0.25">
      <c r="A239"/>
      <c r="B239"/>
      <c r="C239"/>
      <c r="D239"/>
    </row>
    <row r="240" spans="1:4" x14ac:dyDescent="0.25">
      <c r="A240"/>
      <c r="B240"/>
      <c r="C240"/>
      <c r="D240"/>
    </row>
    <row r="241" spans="1:4" x14ac:dyDescent="0.25">
      <c r="A241"/>
      <c r="B241"/>
      <c r="C241"/>
      <c r="D241"/>
    </row>
    <row r="242" spans="1:4" x14ac:dyDescent="0.25">
      <c r="A242"/>
      <c r="B242"/>
      <c r="C242"/>
      <c r="D242"/>
    </row>
    <row r="243" spans="1:4" x14ac:dyDescent="0.25">
      <c r="A243"/>
      <c r="B243"/>
      <c r="C243"/>
      <c r="D243"/>
    </row>
    <row r="244" spans="1:4" x14ac:dyDescent="0.25">
      <c r="A244"/>
      <c r="B244"/>
      <c r="C244"/>
      <c r="D244"/>
    </row>
    <row r="245" spans="1:4" x14ac:dyDescent="0.25">
      <c r="A245"/>
      <c r="B245"/>
      <c r="C245"/>
      <c r="D245"/>
    </row>
    <row r="246" spans="1:4" x14ac:dyDescent="0.25">
      <c r="A246"/>
      <c r="B246"/>
      <c r="C246"/>
      <c r="D246"/>
    </row>
    <row r="247" spans="1:4" x14ac:dyDescent="0.25">
      <c r="A247"/>
      <c r="B247"/>
      <c r="C247"/>
      <c r="D247"/>
    </row>
    <row r="248" spans="1:4" x14ac:dyDescent="0.25">
      <c r="A248"/>
      <c r="B248"/>
      <c r="C248"/>
      <c r="D248"/>
    </row>
    <row r="249" spans="1:4" x14ac:dyDescent="0.25">
      <c r="A249"/>
      <c r="B249"/>
      <c r="C249"/>
      <c r="D249"/>
    </row>
    <row r="250" spans="1:4" x14ac:dyDescent="0.25">
      <c r="A250"/>
      <c r="B250"/>
      <c r="C250"/>
      <c r="D250"/>
    </row>
    <row r="251" spans="1:4" x14ac:dyDescent="0.25">
      <c r="A251"/>
      <c r="B251"/>
      <c r="C251"/>
      <c r="D251"/>
    </row>
    <row r="252" spans="1:4" x14ac:dyDescent="0.25">
      <c r="A252"/>
      <c r="B252"/>
      <c r="C252"/>
      <c r="D252"/>
    </row>
    <row r="253" spans="1:4" x14ac:dyDescent="0.25">
      <c r="A253"/>
      <c r="B253"/>
      <c r="C253"/>
      <c r="D253"/>
    </row>
    <row r="254" spans="1:4" x14ac:dyDescent="0.25">
      <c r="A254"/>
      <c r="B254"/>
      <c r="C254"/>
      <c r="D254"/>
    </row>
    <row r="255" spans="1:4" x14ac:dyDescent="0.25">
      <c r="A255"/>
      <c r="B255"/>
      <c r="C255"/>
      <c r="D255"/>
    </row>
    <row r="256" spans="1:4" x14ac:dyDescent="0.25">
      <c r="A256"/>
      <c r="B256"/>
      <c r="C256"/>
      <c r="D256"/>
    </row>
    <row r="257" spans="1:4" x14ac:dyDescent="0.25">
      <c r="A257"/>
      <c r="B257"/>
      <c r="C257"/>
      <c r="D257"/>
    </row>
    <row r="258" spans="1:4" x14ac:dyDescent="0.25">
      <c r="A258"/>
      <c r="B258"/>
      <c r="C258"/>
      <c r="D258"/>
    </row>
    <row r="259" spans="1:4" x14ac:dyDescent="0.25">
      <c r="A259"/>
      <c r="B259"/>
      <c r="C259"/>
      <c r="D259"/>
    </row>
    <row r="260" spans="1:4" x14ac:dyDescent="0.25">
      <c r="A260"/>
      <c r="B260"/>
      <c r="C260"/>
      <c r="D260"/>
    </row>
    <row r="261" spans="1:4" x14ac:dyDescent="0.25">
      <c r="A261"/>
      <c r="B261"/>
      <c r="C261"/>
      <c r="D261"/>
    </row>
    <row r="262" spans="1:4" x14ac:dyDescent="0.25">
      <c r="A262"/>
      <c r="B262"/>
      <c r="C262"/>
      <c r="D262"/>
    </row>
    <row r="263" spans="1:4" x14ac:dyDescent="0.25">
      <c r="A263"/>
      <c r="B263"/>
      <c r="C263"/>
      <c r="D263"/>
    </row>
    <row r="264" spans="1:4" x14ac:dyDescent="0.25">
      <c r="A264"/>
      <c r="B264"/>
      <c r="C264"/>
      <c r="D264"/>
    </row>
    <row r="265" spans="1:4" x14ac:dyDescent="0.25">
      <c r="A265"/>
      <c r="B265"/>
      <c r="C265"/>
      <c r="D265"/>
    </row>
    <row r="266" spans="1:4" x14ac:dyDescent="0.25">
      <c r="A266"/>
      <c r="B266"/>
      <c r="C266"/>
      <c r="D266"/>
    </row>
    <row r="267" spans="1:4" x14ac:dyDescent="0.25">
      <c r="A267"/>
      <c r="B267"/>
      <c r="C267"/>
      <c r="D267"/>
    </row>
    <row r="268" spans="1:4" x14ac:dyDescent="0.25">
      <c r="A268"/>
      <c r="B268"/>
      <c r="C268"/>
      <c r="D268"/>
    </row>
    <row r="269" spans="1:4" x14ac:dyDescent="0.25">
      <c r="A269"/>
      <c r="B269"/>
      <c r="C269"/>
      <c r="D269"/>
    </row>
    <row r="270" spans="1:4" x14ac:dyDescent="0.25">
      <c r="A270"/>
      <c r="B270"/>
      <c r="C270"/>
      <c r="D270"/>
    </row>
    <row r="271" spans="1:4" x14ac:dyDescent="0.25">
      <c r="A271"/>
      <c r="B271"/>
      <c r="C271"/>
      <c r="D271"/>
    </row>
    <row r="272" spans="1:4" x14ac:dyDescent="0.25">
      <c r="A272"/>
      <c r="B272"/>
      <c r="C272"/>
      <c r="D272"/>
    </row>
    <row r="273" spans="1:4" x14ac:dyDescent="0.25">
      <c r="A273"/>
      <c r="B273"/>
      <c r="C273"/>
      <c r="D273"/>
    </row>
    <row r="274" spans="1:4" x14ac:dyDescent="0.25">
      <c r="A274"/>
      <c r="B274"/>
      <c r="C274"/>
      <c r="D274"/>
    </row>
    <row r="275" spans="1:4" x14ac:dyDescent="0.25">
      <c r="A275"/>
      <c r="B275"/>
      <c r="C275"/>
      <c r="D275"/>
    </row>
    <row r="276" spans="1:4" x14ac:dyDescent="0.25">
      <c r="A276"/>
      <c r="B276"/>
      <c r="C276"/>
      <c r="D276"/>
    </row>
    <row r="277" spans="1:4" x14ac:dyDescent="0.25">
      <c r="A277"/>
      <c r="B277"/>
      <c r="C277"/>
      <c r="D277"/>
    </row>
    <row r="278" spans="1:4" x14ac:dyDescent="0.25">
      <c r="A278"/>
      <c r="B278"/>
      <c r="C278"/>
      <c r="D278"/>
    </row>
    <row r="279" spans="1:4" x14ac:dyDescent="0.25">
      <c r="A279"/>
      <c r="B279"/>
      <c r="C279"/>
      <c r="D279"/>
    </row>
    <row r="280" spans="1:4" x14ac:dyDescent="0.25">
      <c r="A280"/>
      <c r="B280"/>
      <c r="C280"/>
      <c r="D280"/>
    </row>
    <row r="281" spans="1:4" x14ac:dyDescent="0.25">
      <c r="A281"/>
      <c r="B281"/>
      <c r="C281"/>
      <c r="D281"/>
    </row>
    <row r="282" spans="1:4" x14ac:dyDescent="0.25">
      <c r="A282"/>
      <c r="B282"/>
      <c r="C282"/>
      <c r="D282"/>
    </row>
    <row r="283" spans="1:4" x14ac:dyDescent="0.25">
      <c r="A283"/>
      <c r="B283"/>
      <c r="C283"/>
      <c r="D283"/>
    </row>
    <row r="284" spans="1:4" x14ac:dyDescent="0.25">
      <c r="A284"/>
      <c r="B284"/>
      <c r="C284"/>
      <c r="D284"/>
    </row>
    <row r="285" spans="1:4" x14ac:dyDescent="0.25">
      <c r="A285"/>
      <c r="B285"/>
      <c r="C285"/>
      <c r="D285"/>
    </row>
    <row r="286" spans="1:4" x14ac:dyDescent="0.25">
      <c r="A286"/>
      <c r="B286"/>
      <c r="C286"/>
      <c r="D286"/>
    </row>
    <row r="287" spans="1:4" x14ac:dyDescent="0.25">
      <c r="A287"/>
      <c r="B287"/>
      <c r="C287"/>
      <c r="D287"/>
    </row>
    <row r="288" spans="1:4" x14ac:dyDescent="0.25">
      <c r="A288"/>
      <c r="B288"/>
      <c r="C288"/>
      <c r="D288"/>
    </row>
    <row r="289" spans="1:4" x14ac:dyDescent="0.25">
      <c r="A289"/>
      <c r="B289"/>
      <c r="C289"/>
      <c r="D289"/>
    </row>
    <row r="290" spans="1:4" x14ac:dyDescent="0.25">
      <c r="A290"/>
      <c r="B290"/>
      <c r="C290"/>
      <c r="D290"/>
    </row>
    <row r="291" spans="1:4" x14ac:dyDescent="0.25">
      <c r="A291"/>
      <c r="B291"/>
      <c r="C291"/>
      <c r="D291"/>
    </row>
    <row r="292" spans="1:4" x14ac:dyDescent="0.25">
      <c r="A292"/>
      <c r="B292"/>
      <c r="C292"/>
      <c r="D292"/>
    </row>
    <row r="293" spans="1:4" x14ac:dyDescent="0.25">
      <c r="A293"/>
      <c r="B293"/>
      <c r="C293"/>
      <c r="D293"/>
    </row>
    <row r="294" spans="1:4" x14ac:dyDescent="0.25">
      <c r="A294"/>
      <c r="B294"/>
      <c r="C294"/>
      <c r="D294"/>
    </row>
    <row r="295" spans="1:4" x14ac:dyDescent="0.25">
      <c r="A295"/>
      <c r="B295"/>
      <c r="C295"/>
      <c r="D295"/>
    </row>
    <row r="296" spans="1:4" x14ac:dyDescent="0.25">
      <c r="A296"/>
      <c r="B296"/>
      <c r="C296"/>
      <c r="D296"/>
    </row>
    <row r="297" spans="1:4" x14ac:dyDescent="0.25">
      <c r="A297"/>
      <c r="B297"/>
      <c r="C297"/>
      <c r="D297"/>
    </row>
    <row r="298" spans="1:4" x14ac:dyDescent="0.25">
      <c r="A298"/>
      <c r="B298"/>
      <c r="C298"/>
      <c r="D298"/>
    </row>
    <row r="299" spans="1:4" x14ac:dyDescent="0.25">
      <c r="A299"/>
      <c r="B299"/>
      <c r="C299"/>
      <c r="D299"/>
    </row>
    <row r="300" spans="1:4" x14ac:dyDescent="0.25">
      <c r="A300"/>
      <c r="B300"/>
      <c r="C300"/>
      <c r="D300"/>
    </row>
    <row r="301" spans="1:4" x14ac:dyDescent="0.25">
      <c r="A301"/>
      <c r="B301"/>
      <c r="C301"/>
      <c r="D301"/>
    </row>
    <row r="302" spans="1:4" x14ac:dyDescent="0.25">
      <c r="A302"/>
      <c r="B302"/>
      <c r="C302"/>
      <c r="D302"/>
    </row>
    <row r="303" spans="1:4" x14ac:dyDescent="0.25">
      <c r="A303"/>
      <c r="B303"/>
      <c r="C303"/>
      <c r="D303"/>
    </row>
    <row r="304" spans="1:4" x14ac:dyDescent="0.25">
      <c r="A304"/>
      <c r="B304"/>
      <c r="C304"/>
      <c r="D304"/>
    </row>
    <row r="305" spans="1:4" x14ac:dyDescent="0.25">
      <c r="A305"/>
      <c r="B305"/>
      <c r="C305"/>
      <c r="D305"/>
    </row>
    <row r="306" spans="1:4" x14ac:dyDescent="0.25">
      <c r="A306"/>
      <c r="B306"/>
      <c r="C306"/>
      <c r="D306"/>
    </row>
    <row r="307" spans="1:4" x14ac:dyDescent="0.25">
      <c r="A307"/>
      <c r="B307"/>
      <c r="C307"/>
      <c r="D307"/>
    </row>
    <row r="308" spans="1:4" x14ac:dyDescent="0.25">
      <c r="A308"/>
      <c r="B308"/>
      <c r="C308"/>
      <c r="D308"/>
    </row>
    <row r="309" spans="1:4" x14ac:dyDescent="0.25">
      <c r="A309"/>
      <c r="B309"/>
      <c r="C309"/>
      <c r="D309"/>
    </row>
    <row r="310" spans="1:4" x14ac:dyDescent="0.25">
      <c r="A310"/>
      <c r="B310"/>
      <c r="C310"/>
      <c r="D310"/>
    </row>
    <row r="311" spans="1:4" x14ac:dyDescent="0.25">
      <c r="A311"/>
      <c r="B311"/>
      <c r="C311"/>
      <c r="D311"/>
    </row>
    <row r="312" spans="1:4" x14ac:dyDescent="0.25">
      <c r="A312"/>
      <c r="B312"/>
      <c r="C312"/>
      <c r="D312"/>
    </row>
    <row r="313" spans="1:4" x14ac:dyDescent="0.25">
      <c r="A313"/>
      <c r="B313"/>
      <c r="C313"/>
      <c r="D313"/>
    </row>
    <row r="314" spans="1:4" x14ac:dyDescent="0.25">
      <c r="A314"/>
      <c r="B314"/>
      <c r="C314"/>
      <c r="D314"/>
    </row>
    <row r="315" spans="1:4" x14ac:dyDescent="0.25">
      <c r="A315"/>
      <c r="B315"/>
      <c r="C315"/>
      <c r="D315"/>
    </row>
    <row r="316" spans="1:4" x14ac:dyDescent="0.25">
      <c r="A316"/>
      <c r="B316"/>
      <c r="C316"/>
      <c r="D316"/>
    </row>
    <row r="317" spans="1:4" x14ac:dyDescent="0.25">
      <c r="A317"/>
      <c r="B317"/>
      <c r="C317"/>
      <c r="D317"/>
    </row>
    <row r="318" spans="1:4" x14ac:dyDescent="0.25">
      <c r="A318"/>
      <c r="B318"/>
      <c r="C318"/>
      <c r="D318"/>
    </row>
    <row r="319" spans="1:4" x14ac:dyDescent="0.25">
      <c r="A319"/>
      <c r="B319"/>
      <c r="C319"/>
      <c r="D319"/>
    </row>
    <row r="320" spans="1:4" x14ac:dyDescent="0.25">
      <c r="A320"/>
      <c r="B320"/>
      <c r="C320"/>
      <c r="D320"/>
    </row>
    <row r="321" spans="1:4" x14ac:dyDescent="0.25">
      <c r="A321"/>
      <c r="B321"/>
      <c r="C321"/>
      <c r="D321"/>
    </row>
    <row r="322" spans="1:4" x14ac:dyDescent="0.25">
      <c r="A322"/>
      <c r="B322"/>
      <c r="C322"/>
      <c r="D322"/>
    </row>
    <row r="323" spans="1:4" x14ac:dyDescent="0.25">
      <c r="A323"/>
      <c r="B323"/>
      <c r="C323"/>
      <c r="D323"/>
    </row>
    <row r="324" spans="1:4" x14ac:dyDescent="0.25">
      <c r="A324"/>
      <c r="B324"/>
      <c r="C324"/>
      <c r="D324"/>
    </row>
    <row r="325" spans="1:4" x14ac:dyDescent="0.25">
      <c r="A325"/>
      <c r="B325"/>
      <c r="C325"/>
      <c r="D325"/>
    </row>
    <row r="326" spans="1:4" x14ac:dyDescent="0.25">
      <c r="A326"/>
      <c r="B326"/>
      <c r="C326"/>
      <c r="D326"/>
    </row>
    <row r="327" spans="1:4" x14ac:dyDescent="0.25">
      <c r="A327"/>
      <c r="B327"/>
      <c r="C327"/>
      <c r="D327"/>
    </row>
    <row r="328" spans="1:4" x14ac:dyDescent="0.25">
      <c r="A328"/>
      <c r="B328"/>
      <c r="C328"/>
      <c r="D328"/>
    </row>
    <row r="329" spans="1:4" x14ac:dyDescent="0.25">
      <c r="A329"/>
      <c r="B329"/>
      <c r="C329"/>
      <c r="D329"/>
    </row>
    <row r="330" spans="1:4" x14ac:dyDescent="0.25">
      <c r="A330"/>
      <c r="B330"/>
      <c r="C330"/>
      <c r="D330"/>
    </row>
    <row r="331" spans="1:4" x14ac:dyDescent="0.25">
      <c r="A331"/>
      <c r="B331"/>
      <c r="C331"/>
      <c r="D331"/>
    </row>
    <row r="332" spans="1:4" x14ac:dyDescent="0.25">
      <c r="A332"/>
      <c r="B332"/>
      <c r="C332"/>
      <c r="D332"/>
    </row>
    <row r="333" spans="1:4" x14ac:dyDescent="0.25">
      <c r="A333"/>
      <c r="B333"/>
      <c r="C333"/>
      <c r="D333"/>
    </row>
    <row r="334" spans="1:4" x14ac:dyDescent="0.25">
      <c r="A334"/>
      <c r="B334"/>
      <c r="C334"/>
      <c r="D334"/>
    </row>
    <row r="335" spans="1:4" x14ac:dyDescent="0.25">
      <c r="A335"/>
      <c r="B335"/>
      <c r="C335"/>
      <c r="D335"/>
    </row>
    <row r="336" spans="1:4" x14ac:dyDescent="0.25">
      <c r="A336"/>
      <c r="B336"/>
      <c r="C336"/>
      <c r="D336"/>
    </row>
    <row r="337" spans="1:4" x14ac:dyDescent="0.25">
      <c r="A337"/>
      <c r="B337"/>
      <c r="C337"/>
      <c r="D337"/>
    </row>
    <row r="338" spans="1:4" x14ac:dyDescent="0.25">
      <c r="A338"/>
      <c r="B338"/>
      <c r="C338"/>
      <c r="D338"/>
    </row>
    <row r="339" spans="1:4" x14ac:dyDescent="0.25">
      <c r="A339"/>
      <c r="B339"/>
      <c r="C339"/>
      <c r="D339"/>
    </row>
    <row r="340" spans="1:4" x14ac:dyDescent="0.25">
      <c r="A340"/>
      <c r="B340"/>
      <c r="C340"/>
      <c r="D340"/>
    </row>
    <row r="341" spans="1:4" x14ac:dyDescent="0.25">
      <c r="A341"/>
      <c r="B341"/>
      <c r="C341"/>
      <c r="D341"/>
    </row>
    <row r="342" spans="1:4" x14ac:dyDescent="0.25">
      <c r="A342"/>
      <c r="B342"/>
      <c r="C342"/>
      <c r="D342"/>
    </row>
    <row r="343" spans="1:4" x14ac:dyDescent="0.25">
      <c r="A343"/>
      <c r="B343"/>
      <c r="C343"/>
      <c r="D343"/>
    </row>
    <row r="344" spans="1:4" x14ac:dyDescent="0.25">
      <c r="A344"/>
      <c r="B344"/>
      <c r="C344"/>
      <c r="D344"/>
    </row>
    <row r="345" spans="1:4" x14ac:dyDescent="0.25">
      <c r="A345"/>
      <c r="B345"/>
      <c r="C345"/>
      <c r="D345"/>
    </row>
    <row r="346" spans="1:4" x14ac:dyDescent="0.25">
      <c r="A346"/>
      <c r="B346"/>
      <c r="C346"/>
      <c r="D346"/>
    </row>
    <row r="347" spans="1:4" x14ac:dyDescent="0.25">
      <c r="A347"/>
      <c r="B347"/>
      <c r="C347"/>
      <c r="D347"/>
    </row>
    <row r="348" spans="1:4" x14ac:dyDescent="0.25">
      <c r="A348"/>
      <c r="B348"/>
      <c r="C348"/>
      <c r="D348"/>
    </row>
    <row r="349" spans="1:4" x14ac:dyDescent="0.25">
      <c r="A349"/>
      <c r="B349"/>
      <c r="C349"/>
      <c r="D349"/>
    </row>
    <row r="350" spans="1:4" x14ac:dyDescent="0.25">
      <c r="A350"/>
      <c r="B350"/>
      <c r="C350"/>
      <c r="D350"/>
    </row>
    <row r="351" spans="1:4" x14ac:dyDescent="0.25">
      <c r="A351"/>
      <c r="B351"/>
      <c r="C351"/>
      <c r="D351"/>
    </row>
    <row r="352" spans="1:4" x14ac:dyDescent="0.25">
      <c r="A352"/>
      <c r="B352"/>
      <c r="C352"/>
      <c r="D352"/>
    </row>
    <row r="353" spans="1:4" x14ac:dyDescent="0.25">
      <c r="A353"/>
      <c r="B353"/>
      <c r="C353"/>
      <c r="D353"/>
    </row>
    <row r="354" spans="1:4" x14ac:dyDescent="0.25">
      <c r="A354"/>
      <c r="B354"/>
      <c r="C354"/>
      <c r="D354"/>
    </row>
    <row r="355" spans="1:4" x14ac:dyDescent="0.25">
      <c r="A355"/>
      <c r="B355"/>
      <c r="C355"/>
      <c r="D355"/>
    </row>
    <row r="356" spans="1:4" x14ac:dyDescent="0.25">
      <c r="A356"/>
      <c r="B356"/>
      <c r="C356"/>
      <c r="D356"/>
    </row>
    <row r="357" spans="1:4" x14ac:dyDescent="0.25">
      <c r="A357"/>
      <c r="B357"/>
      <c r="C357"/>
      <c r="D357"/>
    </row>
    <row r="358" spans="1:4" x14ac:dyDescent="0.25">
      <c r="A358"/>
      <c r="B358"/>
      <c r="C358"/>
      <c r="D358"/>
    </row>
    <row r="359" spans="1:4" x14ac:dyDescent="0.25">
      <c r="A359"/>
      <c r="B359"/>
      <c r="C359"/>
      <c r="D359"/>
    </row>
    <row r="360" spans="1:4" x14ac:dyDescent="0.25">
      <c r="A360"/>
      <c r="B360"/>
      <c r="C360"/>
      <c r="D360"/>
    </row>
    <row r="361" spans="1:4" x14ac:dyDescent="0.25">
      <c r="A361"/>
      <c r="B361"/>
      <c r="C361"/>
      <c r="D361"/>
    </row>
    <row r="362" spans="1:4" x14ac:dyDescent="0.25">
      <c r="A362"/>
      <c r="B362"/>
      <c r="C362"/>
      <c r="D362"/>
    </row>
    <row r="363" spans="1:4" x14ac:dyDescent="0.25">
      <c r="A363"/>
      <c r="B363"/>
      <c r="C363"/>
      <c r="D363"/>
    </row>
    <row r="364" spans="1:4" x14ac:dyDescent="0.25">
      <c r="A364"/>
      <c r="B364"/>
      <c r="C364"/>
      <c r="D364"/>
    </row>
    <row r="365" spans="1:4" x14ac:dyDescent="0.25">
      <c r="A365"/>
      <c r="B365"/>
      <c r="C365"/>
      <c r="D365"/>
    </row>
    <row r="366" spans="1:4" x14ac:dyDescent="0.25">
      <c r="A366"/>
      <c r="B366"/>
      <c r="C366"/>
      <c r="D366"/>
    </row>
    <row r="367" spans="1:4" x14ac:dyDescent="0.25">
      <c r="A367"/>
      <c r="B367"/>
      <c r="C367"/>
      <c r="D367"/>
    </row>
    <row r="368" spans="1:4" x14ac:dyDescent="0.25">
      <c r="A368"/>
      <c r="B368"/>
      <c r="C368"/>
      <c r="D368"/>
    </row>
    <row r="369" spans="1:4" x14ac:dyDescent="0.25">
      <c r="A369"/>
      <c r="B369"/>
      <c r="C369"/>
      <c r="D369"/>
    </row>
    <row r="370" spans="1:4" x14ac:dyDescent="0.25">
      <c r="A370"/>
      <c r="B370"/>
      <c r="C370"/>
      <c r="D370"/>
    </row>
    <row r="371" spans="1:4" x14ac:dyDescent="0.25">
      <c r="A371"/>
      <c r="B371"/>
      <c r="C371"/>
      <c r="D371"/>
    </row>
    <row r="372" spans="1:4" x14ac:dyDescent="0.25">
      <c r="A372"/>
      <c r="B372"/>
      <c r="C372"/>
      <c r="D372"/>
    </row>
    <row r="373" spans="1:4" x14ac:dyDescent="0.25">
      <c r="A373"/>
      <c r="B373"/>
      <c r="C373"/>
      <c r="D373"/>
    </row>
    <row r="374" spans="1:4" x14ac:dyDescent="0.25">
      <c r="A374"/>
      <c r="B374"/>
      <c r="C374"/>
      <c r="D374"/>
    </row>
    <row r="375" spans="1:4" x14ac:dyDescent="0.25">
      <c r="A375"/>
      <c r="B375"/>
      <c r="C375"/>
      <c r="D375"/>
    </row>
    <row r="376" spans="1:4" x14ac:dyDescent="0.25">
      <c r="A376"/>
      <c r="B376"/>
      <c r="C376"/>
      <c r="D376"/>
    </row>
    <row r="377" spans="1:4" x14ac:dyDescent="0.25">
      <c r="A377"/>
      <c r="B377"/>
      <c r="C377"/>
      <c r="D377"/>
    </row>
    <row r="378" spans="1:4" x14ac:dyDescent="0.25">
      <c r="A378"/>
      <c r="B378"/>
      <c r="C378"/>
      <c r="D378"/>
    </row>
    <row r="379" spans="1:4" x14ac:dyDescent="0.25">
      <c r="A379"/>
      <c r="B379"/>
      <c r="C379"/>
      <c r="D379"/>
    </row>
    <row r="380" spans="1:4" x14ac:dyDescent="0.25">
      <c r="A380"/>
      <c r="B380"/>
      <c r="C380"/>
      <c r="D380"/>
    </row>
    <row r="381" spans="1:4" x14ac:dyDescent="0.25">
      <c r="A381"/>
      <c r="B381"/>
      <c r="C381"/>
      <c r="D381"/>
    </row>
    <row r="382" spans="1:4" x14ac:dyDescent="0.25">
      <c r="A382"/>
      <c r="B382"/>
      <c r="C382"/>
      <c r="D382"/>
    </row>
    <row r="383" spans="1:4" x14ac:dyDescent="0.25">
      <c r="A383"/>
      <c r="B383"/>
      <c r="C383"/>
      <c r="D383"/>
    </row>
    <row r="384" spans="1:4" x14ac:dyDescent="0.25">
      <c r="A384"/>
      <c r="B384"/>
      <c r="C384"/>
      <c r="D384"/>
    </row>
    <row r="385" spans="1:4" x14ac:dyDescent="0.25">
      <c r="A385"/>
      <c r="B385"/>
      <c r="C385"/>
      <c r="D385"/>
    </row>
    <row r="386" spans="1:4" x14ac:dyDescent="0.25">
      <c r="A386"/>
      <c r="B386"/>
      <c r="C386"/>
      <c r="D386"/>
    </row>
    <row r="387" spans="1:4" x14ac:dyDescent="0.25">
      <c r="A387"/>
      <c r="B387"/>
      <c r="C387"/>
      <c r="D387"/>
    </row>
    <row r="388" spans="1:4" x14ac:dyDescent="0.25">
      <c r="A388"/>
      <c r="B388"/>
      <c r="C388"/>
      <c r="D388"/>
    </row>
    <row r="389" spans="1:4" x14ac:dyDescent="0.25">
      <c r="A389"/>
      <c r="B389"/>
      <c r="C389"/>
      <c r="D389"/>
    </row>
    <row r="390" spans="1:4" x14ac:dyDescent="0.25">
      <c r="A390"/>
      <c r="B390"/>
      <c r="C390"/>
      <c r="D390"/>
    </row>
    <row r="391" spans="1:4" x14ac:dyDescent="0.25">
      <c r="A391"/>
      <c r="B391"/>
      <c r="C391"/>
      <c r="D391"/>
    </row>
    <row r="392" spans="1:4" x14ac:dyDescent="0.25">
      <c r="A392"/>
      <c r="B392"/>
      <c r="C392"/>
      <c r="D392"/>
    </row>
    <row r="393" spans="1:4" x14ac:dyDescent="0.25">
      <c r="A393"/>
      <c r="B393"/>
      <c r="C393"/>
      <c r="D393"/>
    </row>
    <row r="394" spans="1:4" x14ac:dyDescent="0.25">
      <c r="A394"/>
      <c r="B394"/>
      <c r="C394"/>
      <c r="D394"/>
    </row>
    <row r="395" spans="1:4" x14ac:dyDescent="0.25">
      <c r="A395"/>
      <c r="B395"/>
      <c r="C395"/>
      <c r="D395"/>
    </row>
    <row r="396" spans="1:4" x14ac:dyDescent="0.25">
      <c r="A396"/>
      <c r="B396"/>
      <c r="C396"/>
      <c r="D396"/>
    </row>
    <row r="397" spans="1:4" x14ac:dyDescent="0.25">
      <c r="A397"/>
      <c r="B397"/>
      <c r="C397"/>
      <c r="D397"/>
    </row>
    <row r="398" spans="1:4" x14ac:dyDescent="0.25">
      <c r="A398"/>
      <c r="B398"/>
      <c r="C398"/>
      <c r="D398"/>
    </row>
    <row r="399" spans="1:4" x14ac:dyDescent="0.25">
      <c r="A399"/>
      <c r="B399"/>
      <c r="C399"/>
      <c r="D399"/>
    </row>
    <row r="400" spans="1:4" x14ac:dyDescent="0.25">
      <c r="A400"/>
      <c r="B400"/>
      <c r="C400"/>
      <c r="D400"/>
    </row>
    <row r="401" spans="1:4" x14ac:dyDescent="0.25">
      <c r="A401"/>
      <c r="B401"/>
      <c r="C401"/>
      <c r="D401"/>
    </row>
    <row r="402" spans="1:4" x14ac:dyDescent="0.25">
      <c r="A402"/>
      <c r="B402"/>
      <c r="C402"/>
      <c r="D402"/>
    </row>
    <row r="403" spans="1:4" x14ac:dyDescent="0.25">
      <c r="A403"/>
      <c r="B403"/>
      <c r="C403"/>
      <c r="D403"/>
    </row>
    <row r="404" spans="1:4" x14ac:dyDescent="0.25">
      <c r="A404"/>
      <c r="B404"/>
      <c r="C404"/>
      <c r="D404"/>
    </row>
    <row r="405" spans="1:4" x14ac:dyDescent="0.25">
      <c r="A405"/>
      <c r="B405"/>
      <c r="C405"/>
      <c r="D405"/>
    </row>
    <row r="406" spans="1:4" x14ac:dyDescent="0.25">
      <c r="A406"/>
      <c r="B406"/>
      <c r="C406"/>
      <c r="D406"/>
    </row>
    <row r="407" spans="1:4" x14ac:dyDescent="0.25">
      <c r="A407"/>
      <c r="B407"/>
      <c r="C407"/>
      <c r="D407"/>
    </row>
    <row r="408" spans="1:4" x14ac:dyDescent="0.25">
      <c r="A408"/>
      <c r="B408"/>
      <c r="C408"/>
      <c r="D408"/>
    </row>
    <row r="409" spans="1:4" x14ac:dyDescent="0.25">
      <c r="A409"/>
      <c r="B409"/>
      <c r="C409"/>
      <c r="D409"/>
    </row>
    <row r="410" spans="1:4" x14ac:dyDescent="0.25">
      <c r="A410"/>
      <c r="B410"/>
      <c r="C410"/>
      <c r="D410"/>
    </row>
    <row r="411" spans="1:4" x14ac:dyDescent="0.25">
      <c r="A411"/>
      <c r="B411"/>
      <c r="C411"/>
      <c r="D411"/>
    </row>
    <row r="412" spans="1:4" x14ac:dyDescent="0.25">
      <c r="A412"/>
      <c r="B412"/>
      <c r="C412"/>
      <c r="D412"/>
    </row>
    <row r="413" spans="1:4" x14ac:dyDescent="0.25">
      <c r="A413"/>
      <c r="B413"/>
      <c r="C413"/>
      <c r="D413"/>
    </row>
    <row r="414" spans="1:4" x14ac:dyDescent="0.25">
      <c r="A414"/>
      <c r="B414"/>
      <c r="C414"/>
      <c r="D414"/>
    </row>
    <row r="415" spans="1:4" x14ac:dyDescent="0.25">
      <c r="A415"/>
      <c r="B415"/>
      <c r="C415"/>
      <c r="D415"/>
    </row>
    <row r="416" spans="1:4" x14ac:dyDescent="0.25">
      <c r="A416"/>
      <c r="B416"/>
      <c r="C416"/>
      <c r="D416"/>
    </row>
    <row r="417" spans="1:4" x14ac:dyDescent="0.25">
      <c r="A417"/>
      <c r="B417"/>
      <c r="C417"/>
      <c r="D417"/>
    </row>
    <row r="418" spans="1:4" x14ac:dyDescent="0.25">
      <c r="A418"/>
      <c r="B418"/>
      <c r="C418"/>
      <c r="D418"/>
    </row>
    <row r="419" spans="1:4" x14ac:dyDescent="0.25">
      <c r="A419"/>
      <c r="B419"/>
      <c r="C419"/>
      <c r="D419"/>
    </row>
    <row r="420" spans="1:4" x14ac:dyDescent="0.25">
      <c r="A420"/>
      <c r="B420"/>
      <c r="C420"/>
      <c r="D420"/>
    </row>
    <row r="421" spans="1:4" x14ac:dyDescent="0.25">
      <c r="A421"/>
      <c r="B421"/>
      <c r="C421"/>
      <c r="D421"/>
    </row>
    <row r="422" spans="1:4" x14ac:dyDescent="0.25">
      <c r="A422"/>
      <c r="B422"/>
      <c r="C422"/>
      <c r="D422"/>
    </row>
    <row r="423" spans="1:4" x14ac:dyDescent="0.25">
      <c r="A423"/>
      <c r="B423"/>
      <c r="C423"/>
      <c r="D423"/>
    </row>
    <row r="424" spans="1:4" x14ac:dyDescent="0.25">
      <c r="A424"/>
      <c r="B424"/>
      <c r="C424"/>
      <c r="D424"/>
    </row>
    <row r="425" spans="1:4" x14ac:dyDescent="0.25">
      <c r="A425"/>
      <c r="B425"/>
      <c r="C425"/>
      <c r="D425"/>
    </row>
    <row r="426" spans="1:4" x14ac:dyDescent="0.25">
      <c r="A426"/>
      <c r="B426"/>
      <c r="C426"/>
      <c r="D426"/>
    </row>
    <row r="427" spans="1:4" x14ac:dyDescent="0.25">
      <c r="A427"/>
      <c r="B427"/>
      <c r="C427"/>
      <c r="D427"/>
    </row>
    <row r="428" spans="1:4" x14ac:dyDescent="0.25">
      <c r="A428"/>
      <c r="B428"/>
      <c r="C428"/>
      <c r="D428"/>
    </row>
    <row r="429" spans="1:4" x14ac:dyDescent="0.25">
      <c r="A429"/>
      <c r="B429"/>
      <c r="C429"/>
      <c r="D429"/>
    </row>
    <row r="430" spans="1:4" x14ac:dyDescent="0.25">
      <c r="A430"/>
      <c r="B430"/>
      <c r="C430"/>
      <c r="D430"/>
    </row>
    <row r="431" spans="1:4" x14ac:dyDescent="0.25">
      <c r="A431"/>
      <c r="B431"/>
      <c r="C431"/>
      <c r="D431"/>
    </row>
    <row r="432" spans="1:4" x14ac:dyDescent="0.25">
      <c r="A432"/>
      <c r="B432"/>
      <c r="C432"/>
      <c r="D432"/>
    </row>
    <row r="433" spans="1:4" x14ac:dyDescent="0.25">
      <c r="A433"/>
      <c r="B433"/>
      <c r="C433"/>
      <c r="D433"/>
    </row>
    <row r="434" spans="1:4" x14ac:dyDescent="0.25">
      <c r="A434"/>
      <c r="B434"/>
      <c r="C434"/>
      <c r="D434"/>
    </row>
    <row r="435" spans="1:4" x14ac:dyDescent="0.25">
      <c r="A435"/>
      <c r="B435"/>
      <c r="C435"/>
      <c r="D435"/>
    </row>
    <row r="436" spans="1:4" x14ac:dyDescent="0.25">
      <c r="A436"/>
      <c r="B436"/>
      <c r="C436"/>
      <c r="D436"/>
    </row>
    <row r="437" spans="1:4" x14ac:dyDescent="0.25">
      <c r="A437"/>
      <c r="B437"/>
      <c r="C437"/>
      <c r="D437"/>
    </row>
    <row r="438" spans="1:4" x14ac:dyDescent="0.25">
      <c r="A438"/>
      <c r="B438"/>
      <c r="C438"/>
      <c r="D438"/>
    </row>
    <row r="439" spans="1:4" x14ac:dyDescent="0.25">
      <c r="A439"/>
      <c r="B439"/>
      <c r="C439"/>
      <c r="D439"/>
    </row>
    <row r="440" spans="1:4" x14ac:dyDescent="0.25">
      <c r="A440"/>
      <c r="B440"/>
      <c r="C440"/>
      <c r="D440"/>
    </row>
    <row r="441" spans="1:4" x14ac:dyDescent="0.25">
      <c r="A441"/>
      <c r="B441"/>
      <c r="C441"/>
      <c r="D441"/>
    </row>
    <row r="442" spans="1:4" x14ac:dyDescent="0.25">
      <c r="A442"/>
      <c r="B442"/>
      <c r="C442"/>
      <c r="D442"/>
    </row>
    <row r="443" spans="1:4" x14ac:dyDescent="0.25">
      <c r="A443"/>
      <c r="B443"/>
      <c r="C443"/>
      <c r="D443"/>
    </row>
    <row r="444" spans="1:4" x14ac:dyDescent="0.25">
      <c r="A444"/>
      <c r="B444"/>
      <c r="C444"/>
      <c r="D444"/>
    </row>
    <row r="445" spans="1:4" x14ac:dyDescent="0.25">
      <c r="A445"/>
      <c r="B445"/>
      <c r="C445"/>
      <c r="D445"/>
    </row>
    <row r="446" spans="1:4" x14ac:dyDescent="0.25">
      <c r="A446"/>
      <c r="B446"/>
      <c r="C446"/>
      <c r="D446"/>
    </row>
    <row r="447" spans="1:4" x14ac:dyDescent="0.25">
      <c r="A447"/>
      <c r="B447"/>
      <c r="C447"/>
      <c r="D447"/>
    </row>
    <row r="448" spans="1:4" x14ac:dyDescent="0.25">
      <c r="A448"/>
      <c r="B448"/>
      <c r="C448"/>
      <c r="D448"/>
    </row>
    <row r="449" spans="1:4" x14ac:dyDescent="0.25">
      <c r="A449"/>
      <c r="B449"/>
      <c r="C449"/>
      <c r="D449"/>
    </row>
    <row r="450" spans="1:4" x14ac:dyDescent="0.25">
      <c r="A450"/>
      <c r="B450"/>
      <c r="C450"/>
      <c r="D450"/>
    </row>
    <row r="451" spans="1:4" x14ac:dyDescent="0.25">
      <c r="A451"/>
      <c r="B451"/>
      <c r="C451"/>
      <c r="D451"/>
    </row>
    <row r="452" spans="1:4" x14ac:dyDescent="0.25">
      <c r="A452"/>
      <c r="B452"/>
      <c r="C452"/>
      <c r="D452"/>
    </row>
    <row r="453" spans="1:4" x14ac:dyDescent="0.25">
      <c r="A453"/>
      <c r="B453"/>
      <c r="C453"/>
      <c r="D453"/>
    </row>
    <row r="454" spans="1:4" x14ac:dyDescent="0.25">
      <c r="A454"/>
      <c r="B454"/>
      <c r="C454"/>
      <c r="D454"/>
    </row>
    <row r="455" spans="1:4" x14ac:dyDescent="0.25">
      <c r="A455"/>
      <c r="B455"/>
      <c r="C455"/>
      <c r="D455"/>
    </row>
    <row r="456" spans="1:4" x14ac:dyDescent="0.25">
      <c r="A456"/>
      <c r="B456"/>
      <c r="C456"/>
      <c r="D456"/>
    </row>
    <row r="457" spans="1:4" x14ac:dyDescent="0.25">
      <c r="A457"/>
      <c r="B457"/>
      <c r="C457"/>
      <c r="D457"/>
    </row>
    <row r="458" spans="1:4" x14ac:dyDescent="0.25">
      <c r="A458"/>
      <c r="B458"/>
      <c r="C458"/>
      <c r="D458"/>
    </row>
    <row r="459" spans="1:4" x14ac:dyDescent="0.25">
      <c r="A459"/>
      <c r="B459"/>
      <c r="C459"/>
      <c r="D459"/>
    </row>
    <row r="460" spans="1:4" x14ac:dyDescent="0.25">
      <c r="A460"/>
      <c r="B460"/>
      <c r="C460"/>
      <c r="D460"/>
    </row>
    <row r="461" spans="1:4" x14ac:dyDescent="0.25">
      <c r="A461"/>
      <c r="B461"/>
      <c r="C461"/>
      <c r="D461"/>
    </row>
    <row r="462" spans="1:4" x14ac:dyDescent="0.25">
      <c r="A462"/>
      <c r="B462"/>
      <c r="C462"/>
      <c r="D462"/>
    </row>
    <row r="463" spans="1:4" x14ac:dyDescent="0.25">
      <c r="A463"/>
      <c r="B463"/>
      <c r="C463"/>
      <c r="D463"/>
    </row>
    <row r="464" spans="1:4" x14ac:dyDescent="0.25">
      <c r="A464"/>
      <c r="B464"/>
      <c r="C464"/>
      <c r="D464"/>
    </row>
    <row r="465" spans="1:4" x14ac:dyDescent="0.25">
      <c r="A465"/>
      <c r="B465"/>
      <c r="C465"/>
      <c r="D465"/>
    </row>
    <row r="466" spans="1:4" x14ac:dyDescent="0.25">
      <c r="A466"/>
      <c r="B466"/>
      <c r="C466"/>
      <c r="D466"/>
    </row>
    <row r="467" spans="1:4" x14ac:dyDescent="0.25">
      <c r="A467"/>
      <c r="B467"/>
      <c r="C467"/>
      <c r="D467"/>
    </row>
    <row r="468" spans="1:4" x14ac:dyDescent="0.25">
      <c r="A468"/>
      <c r="B468"/>
      <c r="C468"/>
      <c r="D468"/>
    </row>
    <row r="469" spans="1:4" x14ac:dyDescent="0.25">
      <c r="A469"/>
      <c r="B469"/>
      <c r="C469"/>
      <c r="D469"/>
    </row>
    <row r="470" spans="1:4" x14ac:dyDescent="0.25">
      <c r="A470"/>
      <c r="B470"/>
      <c r="C470"/>
      <c r="D470"/>
    </row>
    <row r="471" spans="1:4" x14ac:dyDescent="0.25">
      <c r="A471"/>
      <c r="B471"/>
      <c r="C471"/>
      <c r="D471"/>
    </row>
    <row r="472" spans="1:4" x14ac:dyDescent="0.25">
      <c r="A472"/>
      <c r="B472"/>
      <c r="C472"/>
      <c r="D472"/>
    </row>
    <row r="473" spans="1:4" x14ac:dyDescent="0.25">
      <c r="A473"/>
      <c r="B473"/>
      <c r="C473"/>
      <c r="D473"/>
    </row>
    <row r="474" spans="1:4" x14ac:dyDescent="0.25">
      <c r="A474"/>
      <c r="B474"/>
      <c r="C474"/>
      <c r="D474"/>
    </row>
    <row r="475" spans="1:4" x14ac:dyDescent="0.25">
      <c r="A475"/>
      <c r="B475"/>
      <c r="C475"/>
      <c r="D475"/>
    </row>
    <row r="476" spans="1:4" x14ac:dyDescent="0.25">
      <c r="A476"/>
      <c r="B476"/>
      <c r="C476"/>
      <c r="D476"/>
    </row>
    <row r="477" spans="1:4" x14ac:dyDescent="0.25">
      <c r="A477"/>
      <c r="B477"/>
      <c r="C477"/>
      <c r="D477"/>
    </row>
    <row r="478" spans="1:4" x14ac:dyDescent="0.25">
      <c r="A478"/>
      <c r="B478"/>
      <c r="C478"/>
      <c r="D478"/>
    </row>
    <row r="479" spans="1:4" x14ac:dyDescent="0.25">
      <c r="A479"/>
      <c r="B479"/>
      <c r="C479"/>
      <c r="D479"/>
    </row>
    <row r="480" spans="1:4" x14ac:dyDescent="0.25">
      <c r="A480"/>
      <c r="B480"/>
      <c r="C480"/>
      <c r="D480"/>
    </row>
    <row r="481" spans="1:4" x14ac:dyDescent="0.25">
      <c r="A481"/>
      <c r="B481"/>
      <c r="C481"/>
      <c r="D481"/>
    </row>
    <row r="482" spans="1:4" x14ac:dyDescent="0.25">
      <c r="A482"/>
      <c r="B482"/>
      <c r="C482"/>
      <c r="D482"/>
    </row>
    <row r="483" spans="1:4" x14ac:dyDescent="0.25">
      <c r="A483"/>
      <c r="B483"/>
      <c r="C483"/>
      <c r="D483"/>
    </row>
    <row r="484" spans="1:4" x14ac:dyDescent="0.25">
      <c r="A484"/>
      <c r="B484"/>
      <c r="C484"/>
      <c r="D484"/>
    </row>
    <row r="485" spans="1:4" x14ac:dyDescent="0.25">
      <c r="A485"/>
      <c r="B485"/>
      <c r="C485"/>
      <c r="D485"/>
    </row>
    <row r="486" spans="1:4" x14ac:dyDescent="0.25">
      <c r="A486"/>
      <c r="B486"/>
      <c r="C486"/>
      <c r="D486"/>
    </row>
    <row r="487" spans="1:4" x14ac:dyDescent="0.25">
      <c r="A487"/>
      <c r="B487"/>
      <c r="C487"/>
      <c r="D487"/>
    </row>
    <row r="488" spans="1:4" x14ac:dyDescent="0.25">
      <c r="A488"/>
      <c r="B488"/>
      <c r="C488"/>
      <c r="D488"/>
    </row>
    <row r="489" spans="1:4" x14ac:dyDescent="0.25">
      <c r="A489"/>
      <c r="B489"/>
      <c r="C489"/>
      <c r="D489"/>
    </row>
    <row r="490" spans="1:4" x14ac:dyDescent="0.25">
      <c r="A490"/>
      <c r="B490"/>
      <c r="C490"/>
      <c r="D490"/>
    </row>
    <row r="491" spans="1:4" x14ac:dyDescent="0.25">
      <c r="A491"/>
      <c r="B491"/>
      <c r="C491"/>
      <c r="D491"/>
    </row>
    <row r="492" spans="1:4" x14ac:dyDescent="0.25">
      <c r="A492"/>
      <c r="B492"/>
      <c r="C492"/>
      <c r="D492"/>
    </row>
    <row r="493" spans="1:4" x14ac:dyDescent="0.25">
      <c r="A493"/>
      <c r="B493"/>
      <c r="C493"/>
      <c r="D493"/>
    </row>
    <row r="494" spans="1:4" x14ac:dyDescent="0.25">
      <c r="A494"/>
      <c r="B494"/>
      <c r="C494"/>
      <c r="D494"/>
    </row>
    <row r="495" spans="1:4" x14ac:dyDescent="0.25">
      <c r="A495"/>
      <c r="B495"/>
      <c r="C495"/>
      <c r="D495"/>
    </row>
    <row r="496" spans="1:4" x14ac:dyDescent="0.25">
      <c r="A496"/>
      <c r="B496"/>
      <c r="C496"/>
      <c r="D496"/>
    </row>
    <row r="497" spans="1:4" x14ac:dyDescent="0.25">
      <c r="A497"/>
      <c r="B497"/>
      <c r="C497"/>
      <c r="D497"/>
    </row>
    <row r="498" spans="1:4" x14ac:dyDescent="0.25">
      <c r="A498"/>
      <c r="B498"/>
      <c r="C498"/>
      <c r="D498"/>
    </row>
    <row r="499" spans="1:4" x14ac:dyDescent="0.25">
      <c r="A499"/>
      <c r="B499"/>
      <c r="C499"/>
      <c r="D499"/>
    </row>
    <row r="500" spans="1:4" x14ac:dyDescent="0.25">
      <c r="A500"/>
      <c r="B500"/>
      <c r="C500"/>
      <c r="D500"/>
    </row>
    <row r="501" spans="1:4" x14ac:dyDescent="0.25">
      <c r="A501"/>
      <c r="B501"/>
      <c r="C501"/>
      <c r="D501"/>
    </row>
    <row r="502" spans="1:4" x14ac:dyDescent="0.25">
      <c r="A502"/>
      <c r="B502"/>
      <c r="C502"/>
      <c r="D502"/>
    </row>
    <row r="503" spans="1:4" x14ac:dyDescent="0.25">
      <c r="A503"/>
      <c r="B503"/>
      <c r="C503"/>
      <c r="D503"/>
    </row>
    <row r="504" spans="1:4" x14ac:dyDescent="0.25">
      <c r="A504"/>
      <c r="B504"/>
      <c r="C504"/>
      <c r="D504"/>
    </row>
    <row r="505" spans="1:4" x14ac:dyDescent="0.25">
      <c r="A505"/>
      <c r="B505"/>
      <c r="C505"/>
      <c r="D505"/>
    </row>
    <row r="506" spans="1:4" x14ac:dyDescent="0.25">
      <c r="A506"/>
      <c r="B506"/>
      <c r="C506"/>
      <c r="D506"/>
    </row>
    <row r="507" spans="1:4" x14ac:dyDescent="0.25">
      <c r="A507"/>
      <c r="B507"/>
      <c r="C507"/>
      <c r="D507"/>
    </row>
    <row r="508" spans="1:4" x14ac:dyDescent="0.25">
      <c r="A508"/>
      <c r="B508"/>
      <c r="C508"/>
      <c r="D508"/>
    </row>
    <row r="509" spans="1:4" x14ac:dyDescent="0.25">
      <c r="A509"/>
      <c r="B509"/>
      <c r="C509"/>
      <c r="D509"/>
    </row>
    <row r="510" spans="1:4" x14ac:dyDescent="0.25">
      <c r="A510"/>
      <c r="B510"/>
      <c r="C510"/>
      <c r="D510"/>
    </row>
    <row r="511" spans="1:4" x14ac:dyDescent="0.25">
      <c r="A511"/>
      <c r="B511"/>
      <c r="C511"/>
      <c r="D511"/>
    </row>
    <row r="512" spans="1:4" x14ac:dyDescent="0.25">
      <c r="A512"/>
      <c r="B512"/>
      <c r="C512"/>
      <c r="D512"/>
    </row>
    <row r="513" spans="1:4" x14ac:dyDescent="0.25">
      <c r="A513"/>
      <c r="B513"/>
      <c r="C513"/>
      <c r="D513"/>
    </row>
    <row r="514" spans="1:4" x14ac:dyDescent="0.25">
      <c r="A514"/>
      <c r="B514"/>
      <c r="C514"/>
      <c r="D514"/>
    </row>
    <row r="515" spans="1:4" x14ac:dyDescent="0.25">
      <c r="A515"/>
      <c r="B515"/>
      <c r="C515"/>
      <c r="D515"/>
    </row>
    <row r="516" spans="1:4" x14ac:dyDescent="0.25">
      <c r="A516"/>
      <c r="B516"/>
      <c r="C516"/>
      <c r="D516"/>
    </row>
    <row r="517" spans="1:4" x14ac:dyDescent="0.25">
      <c r="A517"/>
      <c r="B517"/>
      <c r="C517"/>
      <c r="D517"/>
    </row>
    <row r="518" spans="1:4" x14ac:dyDescent="0.25">
      <c r="A518"/>
      <c r="B518"/>
      <c r="C518"/>
      <c r="D518"/>
    </row>
    <row r="519" spans="1:4" x14ac:dyDescent="0.25">
      <c r="A519"/>
      <c r="B519"/>
      <c r="C519"/>
      <c r="D519"/>
    </row>
    <row r="520" spans="1:4" x14ac:dyDescent="0.25">
      <c r="A520"/>
      <c r="B520"/>
      <c r="C520"/>
      <c r="D520"/>
    </row>
    <row r="521" spans="1:4" x14ac:dyDescent="0.25">
      <c r="A521"/>
      <c r="B521"/>
      <c r="C521"/>
      <c r="D521"/>
    </row>
    <row r="522" spans="1:4" x14ac:dyDescent="0.25">
      <c r="A522"/>
      <c r="B522"/>
      <c r="C522"/>
      <c r="D522"/>
    </row>
    <row r="523" spans="1:4" x14ac:dyDescent="0.25">
      <c r="A523"/>
      <c r="B523"/>
      <c r="C523"/>
      <c r="D523"/>
    </row>
    <row r="524" spans="1:4" x14ac:dyDescent="0.25">
      <c r="A524"/>
      <c r="B524"/>
      <c r="C524"/>
      <c r="D524"/>
    </row>
    <row r="525" spans="1:4" x14ac:dyDescent="0.25">
      <c r="A525"/>
      <c r="B525"/>
      <c r="C525"/>
      <c r="D525"/>
    </row>
    <row r="526" spans="1:4" x14ac:dyDescent="0.25">
      <c r="A526"/>
      <c r="B526"/>
      <c r="C526"/>
      <c r="D526"/>
    </row>
    <row r="527" spans="1:4" x14ac:dyDescent="0.25">
      <c r="A527"/>
      <c r="B527"/>
      <c r="C527"/>
      <c r="D527"/>
    </row>
    <row r="528" spans="1:4" x14ac:dyDescent="0.25">
      <c r="A528"/>
      <c r="B528"/>
      <c r="C528"/>
      <c r="D528"/>
    </row>
    <row r="529" spans="1:4" x14ac:dyDescent="0.25">
      <c r="A529"/>
      <c r="B529"/>
      <c r="C529"/>
      <c r="D529"/>
    </row>
    <row r="530" spans="1:4" x14ac:dyDescent="0.25">
      <c r="A530"/>
      <c r="B530"/>
      <c r="C530"/>
      <c r="D530"/>
    </row>
    <row r="531" spans="1:4" x14ac:dyDescent="0.25">
      <c r="A531"/>
      <c r="B531"/>
      <c r="C531"/>
      <c r="D531"/>
    </row>
    <row r="532" spans="1:4" x14ac:dyDescent="0.25">
      <c r="A532"/>
      <c r="B532"/>
      <c r="C532"/>
      <c r="D532"/>
    </row>
    <row r="533" spans="1:4" x14ac:dyDescent="0.25">
      <c r="A533"/>
      <c r="B533"/>
      <c r="C533"/>
      <c r="D533"/>
    </row>
    <row r="534" spans="1:4" x14ac:dyDescent="0.25">
      <c r="A534"/>
      <c r="B534"/>
      <c r="C534"/>
      <c r="D534"/>
    </row>
    <row r="535" spans="1:4" x14ac:dyDescent="0.25">
      <c r="A535"/>
      <c r="B535"/>
      <c r="C535"/>
      <c r="D535"/>
    </row>
    <row r="536" spans="1:4" x14ac:dyDescent="0.25">
      <c r="A536"/>
      <c r="B536"/>
      <c r="C536"/>
      <c r="D536"/>
    </row>
    <row r="537" spans="1:4" x14ac:dyDescent="0.25">
      <c r="A537"/>
      <c r="B537"/>
      <c r="C537"/>
      <c r="D537"/>
    </row>
    <row r="538" spans="1:4" x14ac:dyDescent="0.25">
      <c r="A538"/>
      <c r="B538"/>
      <c r="C538"/>
      <c r="D538"/>
    </row>
    <row r="539" spans="1:4" x14ac:dyDescent="0.25">
      <c r="A539"/>
      <c r="B539"/>
      <c r="C539"/>
      <c r="D539"/>
    </row>
    <row r="540" spans="1:4" x14ac:dyDescent="0.25">
      <c r="A540"/>
      <c r="B540"/>
      <c r="C540"/>
      <c r="D540"/>
    </row>
    <row r="541" spans="1:4" x14ac:dyDescent="0.25">
      <c r="A541"/>
      <c r="B541"/>
      <c r="C541"/>
      <c r="D541"/>
    </row>
    <row r="542" spans="1:4" x14ac:dyDescent="0.25">
      <c r="A542"/>
      <c r="B542"/>
      <c r="C542"/>
      <c r="D542"/>
    </row>
    <row r="543" spans="1:4" x14ac:dyDescent="0.25">
      <c r="A543"/>
      <c r="B543"/>
      <c r="C543"/>
      <c r="D543"/>
    </row>
    <row r="544" spans="1:4" x14ac:dyDescent="0.25">
      <c r="A544"/>
      <c r="B544"/>
      <c r="C544"/>
      <c r="D544"/>
    </row>
    <row r="545" spans="1:4" x14ac:dyDescent="0.25">
      <c r="A545"/>
      <c r="B545"/>
      <c r="C545"/>
      <c r="D545"/>
    </row>
    <row r="546" spans="1:4" x14ac:dyDescent="0.25">
      <c r="A546"/>
      <c r="B546"/>
      <c r="C546"/>
      <c r="D546"/>
    </row>
    <row r="547" spans="1:4" x14ac:dyDescent="0.25">
      <c r="A547"/>
      <c r="B547"/>
      <c r="C547"/>
      <c r="D547"/>
    </row>
    <row r="548" spans="1:4" x14ac:dyDescent="0.25">
      <c r="A548"/>
      <c r="B548"/>
      <c r="C548"/>
      <c r="D548"/>
    </row>
    <row r="549" spans="1:4" x14ac:dyDescent="0.25">
      <c r="A549"/>
      <c r="B549"/>
      <c r="C549"/>
      <c r="D549"/>
    </row>
    <row r="550" spans="1:4" x14ac:dyDescent="0.25">
      <c r="A550"/>
      <c r="B550"/>
      <c r="C550"/>
      <c r="D550"/>
    </row>
    <row r="551" spans="1:4" x14ac:dyDescent="0.25">
      <c r="A551"/>
      <c r="B551"/>
      <c r="C551"/>
      <c r="D551"/>
    </row>
    <row r="552" spans="1:4" x14ac:dyDescent="0.25">
      <c r="A552"/>
      <c r="B552"/>
      <c r="C552"/>
      <c r="D552"/>
    </row>
    <row r="553" spans="1:4" x14ac:dyDescent="0.25">
      <c r="A553"/>
      <c r="B553"/>
      <c r="C553"/>
      <c r="D553"/>
    </row>
    <row r="554" spans="1:4" x14ac:dyDescent="0.25">
      <c r="A554"/>
      <c r="B554"/>
      <c r="C554"/>
      <c r="D554"/>
    </row>
    <row r="555" spans="1:4" x14ac:dyDescent="0.25">
      <c r="A555"/>
      <c r="B555"/>
      <c r="C555"/>
      <c r="D555"/>
    </row>
    <row r="556" spans="1:4" x14ac:dyDescent="0.25">
      <c r="A556"/>
      <c r="B556"/>
      <c r="C556"/>
      <c r="D556"/>
    </row>
    <row r="557" spans="1:4" x14ac:dyDescent="0.25">
      <c r="A557"/>
      <c r="B557"/>
      <c r="C557"/>
      <c r="D557"/>
    </row>
    <row r="558" spans="1:4" x14ac:dyDescent="0.25">
      <c r="A558"/>
      <c r="B558"/>
      <c r="C558"/>
      <c r="D558"/>
    </row>
    <row r="559" spans="1:4" x14ac:dyDescent="0.25">
      <c r="A559"/>
      <c r="B559"/>
      <c r="C559"/>
      <c r="D559"/>
    </row>
    <row r="560" spans="1:4" x14ac:dyDescent="0.25">
      <c r="A560"/>
      <c r="B560"/>
      <c r="C560"/>
      <c r="D560"/>
    </row>
    <row r="561" spans="1:4" x14ac:dyDescent="0.25">
      <c r="A561"/>
      <c r="B561"/>
      <c r="C561"/>
      <c r="D561"/>
    </row>
    <row r="562" spans="1:4" x14ac:dyDescent="0.25">
      <c r="A562"/>
      <c r="B562"/>
      <c r="C562"/>
      <c r="D562"/>
    </row>
    <row r="563" spans="1:4" x14ac:dyDescent="0.25">
      <c r="A563"/>
      <c r="B563"/>
      <c r="C563"/>
      <c r="D563"/>
    </row>
    <row r="564" spans="1:4" x14ac:dyDescent="0.25">
      <c r="A564"/>
      <c r="B564"/>
      <c r="C564"/>
      <c r="D564"/>
    </row>
    <row r="565" spans="1:4" x14ac:dyDescent="0.25">
      <c r="A565"/>
      <c r="B565"/>
      <c r="C565"/>
      <c r="D565"/>
    </row>
    <row r="566" spans="1:4" x14ac:dyDescent="0.25">
      <c r="A566"/>
      <c r="B566"/>
      <c r="C566"/>
      <c r="D566"/>
    </row>
    <row r="567" spans="1:4" x14ac:dyDescent="0.25">
      <c r="A567"/>
      <c r="B567"/>
      <c r="C567"/>
      <c r="D567"/>
    </row>
    <row r="568" spans="1:4" x14ac:dyDescent="0.25">
      <c r="A568"/>
      <c r="B568"/>
      <c r="C568"/>
      <c r="D568"/>
    </row>
    <row r="569" spans="1:4" x14ac:dyDescent="0.25">
      <c r="A569"/>
      <c r="B569"/>
      <c r="C569"/>
      <c r="D569"/>
    </row>
    <row r="570" spans="1:4" x14ac:dyDescent="0.25">
      <c r="A570"/>
      <c r="B570"/>
      <c r="C570"/>
      <c r="D570"/>
    </row>
    <row r="571" spans="1:4" x14ac:dyDescent="0.25">
      <c r="A571"/>
      <c r="B571"/>
      <c r="C571"/>
      <c r="D571"/>
    </row>
    <row r="572" spans="1:4" x14ac:dyDescent="0.25">
      <c r="A572"/>
      <c r="B572"/>
      <c r="C572"/>
      <c r="D572"/>
    </row>
    <row r="573" spans="1:4" x14ac:dyDescent="0.25">
      <c r="A573"/>
      <c r="B573"/>
      <c r="C573"/>
      <c r="D573"/>
    </row>
    <row r="574" spans="1:4" x14ac:dyDescent="0.25">
      <c r="A574"/>
      <c r="B574"/>
      <c r="C574"/>
      <c r="D574"/>
    </row>
    <row r="575" spans="1:4" x14ac:dyDescent="0.25">
      <c r="A575"/>
      <c r="B575"/>
      <c r="C575"/>
      <c r="D575"/>
    </row>
    <row r="576" spans="1:4" x14ac:dyDescent="0.25">
      <c r="A576"/>
      <c r="B576"/>
      <c r="C576"/>
      <c r="D576"/>
    </row>
    <row r="577" spans="1:4" x14ac:dyDescent="0.25">
      <c r="A577"/>
      <c r="B577"/>
      <c r="C577"/>
      <c r="D577"/>
    </row>
    <row r="578" spans="1:4" x14ac:dyDescent="0.25">
      <c r="A578"/>
      <c r="B578"/>
      <c r="C578"/>
      <c r="D578"/>
    </row>
    <row r="579" spans="1:4" x14ac:dyDescent="0.25">
      <c r="A579"/>
      <c r="B579"/>
      <c r="C579"/>
      <c r="D579"/>
    </row>
    <row r="580" spans="1:4" x14ac:dyDescent="0.25">
      <c r="A580"/>
      <c r="B580"/>
      <c r="C580"/>
      <c r="D580"/>
    </row>
    <row r="581" spans="1:4" x14ac:dyDescent="0.25">
      <c r="A581"/>
      <c r="B581"/>
      <c r="C581"/>
      <c r="D581"/>
    </row>
    <row r="582" spans="1:4" x14ac:dyDescent="0.25">
      <c r="A582"/>
      <c r="B582"/>
      <c r="C582"/>
      <c r="D582"/>
    </row>
    <row r="583" spans="1:4" x14ac:dyDescent="0.25">
      <c r="A583"/>
      <c r="B583"/>
      <c r="C583"/>
      <c r="D583"/>
    </row>
    <row r="584" spans="1:4" x14ac:dyDescent="0.25">
      <c r="A584"/>
      <c r="B584"/>
      <c r="C584"/>
      <c r="D584"/>
    </row>
    <row r="585" spans="1:4" x14ac:dyDescent="0.25">
      <c r="A585"/>
      <c r="B585"/>
      <c r="C585"/>
      <c r="D585"/>
    </row>
    <row r="586" spans="1:4" x14ac:dyDescent="0.25">
      <c r="A586"/>
      <c r="B586"/>
      <c r="C586"/>
      <c r="D586"/>
    </row>
    <row r="587" spans="1:4" x14ac:dyDescent="0.25">
      <c r="A587"/>
      <c r="B587"/>
      <c r="C587"/>
      <c r="D587"/>
    </row>
    <row r="588" spans="1:4" x14ac:dyDescent="0.25">
      <c r="A588"/>
      <c r="B588"/>
      <c r="C588"/>
      <c r="D588"/>
    </row>
    <row r="589" spans="1:4" x14ac:dyDescent="0.25">
      <c r="A589"/>
      <c r="B589"/>
      <c r="C589"/>
      <c r="D589"/>
    </row>
    <row r="590" spans="1:4" x14ac:dyDescent="0.25">
      <c r="A590"/>
      <c r="B590"/>
      <c r="C590"/>
      <c r="D590"/>
    </row>
    <row r="591" spans="1:4" x14ac:dyDescent="0.25">
      <c r="A591"/>
      <c r="B591"/>
      <c r="C591"/>
      <c r="D591"/>
    </row>
    <row r="592" spans="1:4" x14ac:dyDescent="0.25">
      <c r="A592"/>
      <c r="B592"/>
      <c r="C592"/>
      <c r="D592"/>
    </row>
    <row r="593" spans="1:4" x14ac:dyDescent="0.25">
      <c r="A593"/>
      <c r="B593"/>
      <c r="C593"/>
      <c r="D593"/>
    </row>
    <row r="594" spans="1:4" x14ac:dyDescent="0.25">
      <c r="A594"/>
      <c r="B594"/>
      <c r="C594"/>
      <c r="D594"/>
    </row>
    <row r="595" spans="1:4" x14ac:dyDescent="0.25">
      <c r="A595"/>
      <c r="B595"/>
      <c r="C595"/>
      <c r="D595"/>
    </row>
    <row r="596" spans="1:4" x14ac:dyDescent="0.25">
      <c r="A596"/>
      <c r="B596"/>
      <c r="C596"/>
      <c r="D596"/>
    </row>
    <row r="597" spans="1:4" x14ac:dyDescent="0.25">
      <c r="A597"/>
      <c r="B597"/>
      <c r="C597"/>
      <c r="D597"/>
    </row>
    <row r="598" spans="1:4" x14ac:dyDescent="0.25">
      <c r="A598"/>
      <c r="B598"/>
      <c r="C598"/>
      <c r="D598"/>
    </row>
    <row r="599" spans="1:4" x14ac:dyDescent="0.25">
      <c r="A599"/>
      <c r="B599"/>
      <c r="C599"/>
      <c r="D599"/>
    </row>
    <row r="600" spans="1:4" x14ac:dyDescent="0.25">
      <c r="A600"/>
      <c r="B600"/>
      <c r="C600"/>
      <c r="D600"/>
    </row>
    <row r="601" spans="1:4" x14ac:dyDescent="0.25">
      <c r="A601"/>
      <c r="B601"/>
      <c r="C601"/>
      <c r="D601"/>
    </row>
    <row r="602" spans="1:4" x14ac:dyDescent="0.25">
      <c r="A602"/>
      <c r="B602"/>
      <c r="C602"/>
      <c r="D602"/>
    </row>
    <row r="603" spans="1:4" x14ac:dyDescent="0.25">
      <c r="A603"/>
      <c r="B603"/>
      <c r="C603"/>
      <c r="D603"/>
    </row>
    <row r="604" spans="1:4" x14ac:dyDescent="0.25">
      <c r="A604"/>
      <c r="B604"/>
      <c r="C604"/>
      <c r="D604"/>
    </row>
    <row r="605" spans="1:4" x14ac:dyDescent="0.25">
      <c r="A605"/>
      <c r="B605"/>
      <c r="C605"/>
      <c r="D605"/>
    </row>
    <row r="606" spans="1:4" x14ac:dyDescent="0.25">
      <c r="A606"/>
      <c r="B606"/>
      <c r="C606"/>
      <c r="D606"/>
    </row>
    <row r="607" spans="1:4" x14ac:dyDescent="0.25">
      <c r="A607"/>
      <c r="B607"/>
      <c r="C607"/>
      <c r="D607"/>
    </row>
    <row r="608" spans="1:4" x14ac:dyDescent="0.25">
      <c r="A608"/>
      <c r="B608"/>
      <c r="C608"/>
      <c r="D608"/>
    </row>
    <row r="609" spans="1:4" x14ac:dyDescent="0.25">
      <c r="A609"/>
      <c r="B609"/>
      <c r="C609"/>
      <c r="D609"/>
    </row>
    <row r="610" spans="1:4" x14ac:dyDescent="0.25">
      <c r="A610"/>
      <c r="B610"/>
      <c r="C610"/>
      <c r="D610"/>
    </row>
    <row r="611" spans="1:4" x14ac:dyDescent="0.25">
      <c r="A611"/>
      <c r="B611"/>
      <c r="C611"/>
      <c r="D611"/>
    </row>
    <row r="612" spans="1:4" x14ac:dyDescent="0.25">
      <c r="A612"/>
      <c r="B612"/>
      <c r="C612"/>
      <c r="D612"/>
    </row>
    <row r="613" spans="1:4" x14ac:dyDescent="0.25">
      <c r="A613"/>
      <c r="B613"/>
      <c r="C613"/>
      <c r="D613"/>
    </row>
    <row r="614" spans="1:4" x14ac:dyDescent="0.25">
      <c r="A614"/>
      <c r="B614"/>
      <c r="C614"/>
      <c r="D614"/>
    </row>
    <row r="615" spans="1:4" x14ac:dyDescent="0.25">
      <c r="A615"/>
      <c r="B615"/>
      <c r="C615"/>
      <c r="D615"/>
    </row>
    <row r="616" spans="1:4" x14ac:dyDescent="0.25">
      <c r="A616"/>
      <c r="B616"/>
      <c r="C616"/>
      <c r="D616"/>
    </row>
    <row r="617" spans="1:4" x14ac:dyDescent="0.25">
      <c r="A617"/>
      <c r="B617"/>
      <c r="C617"/>
      <c r="D617"/>
    </row>
    <row r="618" spans="1:4" x14ac:dyDescent="0.25">
      <c r="A618"/>
      <c r="B618"/>
      <c r="C618"/>
      <c r="D618"/>
    </row>
    <row r="619" spans="1:4" x14ac:dyDescent="0.25">
      <c r="A619"/>
      <c r="B619"/>
      <c r="C619"/>
      <c r="D619"/>
    </row>
    <row r="620" spans="1:4" x14ac:dyDescent="0.25">
      <c r="A620"/>
      <c r="B620"/>
      <c r="C620"/>
      <c r="D620"/>
    </row>
    <row r="621" spans="1:4" x14ac:dyDescent="0.25">
      <c r="A621"/>
      <c r="B621"/>
      <c r="C621"/>
      <c r="D621"/>
    </row>
    <row r="622" spans="1:4" x14ac:dyDescent="0.25">
      <c r="A622"/>
      <c r="B622"/>
      <c r="C622"/>
      <c r="D622"/>
    </row>
    <row r="623" spans="1:4" x14ac:dyDescent="0.25">
      <c r="A623"/>
      <c r="B623"/>
      <c r="C623"/>
      <c r="D623"/>
    </row>
    <row r="624" spans="1:4" x14ac:dyDescent="0.25">
      <c r="A624"/>
      <c r="B624"/>
      <c r="C624"/>
      <c r="D624"/>
    </row>
    <row r="625" spans="1:4" x14ac:dyDescent="0.25">
      <c r="A625"/>
      <c r="B625"/>
      <c r="C625"/>
      <c r="D625"/>
    </row>
    <row r="626" spans="1:4" x14ac:dyDescent="0.25">
      <c r="A626"/>
      <c r="B626"/>
      <c r="C626"/>
      <c r="D626"/>
    </row>
    <row r="627" spans="1:4" x14ac:dyDescent="0.25">
      <c r="A627"/>
      <c r="B627"/>
      <c r="C627"/>
      <c r="D627"/>
    </row>
    <row r="628" spans="1:4" x14ac:dyDescent="0.25">
      <c r="A628"/>
      <c r="B628"/>
      <c r="C628"/>
      <c r="D628"/>
    </row>
    <row r="629" spans="1:4" x14ac:dyDescent="0.25">
      <c r="A629"/>
      <c r="B629"/>
      <c r="C629"/>
      <c r="D629"/>
    </row>
    <row r="630" spans="1:4" x14ac:dyDescent="0.25">
      <c r="A630"/>
      <c r="B630"/>
      <c r="C630"/>
      <c r="D630"/>
    </row>
    <row r="631" spans="1:4" x14ac:dyDescent="0.25">
      <c r="A631"/>
      <c r="B631"/>
      <c r="C631"/>
      <c r="D631"/>
    </row>
    <row r="632" spans="1:4" x14ac:dyDescent="0.25">
      <c r="A632"/>
      <c r="B632"/>
      <c r="C632"/>
      <c r="D632"/>
    </row>
    <row r="633" spans="1:4" x14ac:dyDescent="0.25">
      <c r="A633"/>
      <c r="B633"/>
      <c r="C633"/>
      <c r="D633"/>
    </row>
    <row r="634" spans="1:4" x14ac:dyDescent="0.25">
      <c r="A634"/>
      <c r="B634"/>
      <c r="C634"/>
      <c r="D634"/>
    </row>
    <row r="635" spans="1:4" x14ac:dyDescent="0.25">
      <c r="A635"/>
      <c r="B635"/>
      <c r="C635"/>
      <c r="D635"/>
    </row>
    <row r="636" spans="1:4" x14ac:dyDescent="0.25">
      <c r="A636"/>
      <c r="B636"/>
      <c r="C636"/>
      <c r="D636"/>
    </row>
    <row r="637" spans="1:4" x14ac:dyDescent="0.25">
      <c r="A637"/>
      <c r="B637"/>
      <c r="C637"/>
      <c r="D637"/>
    </row>
    <row r="638" spans="1:4" x14ac:dyDescent="0.25">
      <c r="A638"/>
      <c r="B638"/>
      <c r="C638"/>
      <c r="D638"/>
    </row>
    <row r="639" spans="1:4" x14ac:dyDescent="0.25">
      <c r="A639"/>
      <c r="B639"/>
      <c r="C639"/>
      <c r="D639"/>
    </row>
    <row r="640" spans="1:4" x14ac:dyDescent="0.25">
      <c r="A640"/>
      <c r="B640"/>
      <c r="C640"/>
      <c r="D640"/>
    </row>
    <row r="641" spans="1:4" x14ac:dyDescent="0.25">
      <c r="A641"/>
      <c r="B641"/>
      <c r="C641"/>
      <c r="D641"/>
    </row>
    <row r="642" spans="1:4" x14ac:dyDescent="0.25">
      <c r="A642"/>
      <c r="B642"/>
      <c r="C642"/>
      <c r="D642"/>
    </row>
    <row r="643" spans="1:4" x14ac:dyDescent="0.25">
      <c r="A643"/>
      <c r="B643"/>
      <c r="C643"/>
      <c r="D643"/>
    </row>
    <row r="644" spans="1:4" x14ac:dyDescent="0.25">
      <c r="A644"/>
      <c r="B644"/>
      <c r="C644"/>
      <c r="D644"/>
    </row>
    <row r="645" spans="1:4" x14ac:dyDescent="0.25">
      <c r="A645"/>
      <c r="B645"/>
      <c r="C645"/>
      <c r="D645"/>
    </row>
    <row r="646" spans="1:4" x14ac:dyDescent="0.25">
      <c r="A646"/>
      <c r="B646"/>
      <c r="C646"/>
      <c r="D646"/>
    </row>
    <row r="647" spans="1:4" x14ac:dyDescent="0.25">
      <c r="A647"/>
      <c r="B647"/>
      <c r="C647"/>
      <c r="D647"/>
    </row>
    <row r="648" spans="1:4" x14ac:dyDescent="0.25">
      <c r="A648"/>
      <c r="B648"/>
      <c r="C648"/>
      <c r="D648"/>
    </row>
    <row r="649" spans="1:4" x14ac:dyDescent="0.25">
      <c r="A649"/>
      <c r="B649"/>
      <c r="C649"/>
      <c r="D649"/>
    </row>
    <row r="650" spans="1:4" x14ac:dyDescent="0.25">
      <c r="A650"/>
      <c r="B650"/>
      <c r="C650"/>
      <c r="D650"/>
    </row>
    <row r="651" spans="1:4" x14ac:dyDescent="0.25">
      <c r="A651"/>
      <c r="B651"/>
      <c r="C651"/>
      <c r="D651"/>
    </row>
    <row r="652" spans="1:4" x14ac:dyDescent="0.25">
      <c r="A652"/>
      <c r="B652"/>
      <c r="C652"/>
      <c r="D652"/>
    </row>
    <row r="653" spans="1:4" x14ac:dyDescent="0.25">
      <c r="A653"/>
      <c r="B653"/>
      <c r="C653"/>
      <c r="D653"/>
    </row>
    <row r="654" spans="1:4" x14ac:dyDescent="0.25">
      <c r="A654"/>
      <c r="B654"/>
      <c r="C654"/>
      <c r="D654"/>
    </row>
    <row r="655" spans="1:4" x14ac:dyDescent="0.25">
      <c r="A655"/>
      <c r="B655"/>
      <c r="C655"/>
      <c r="D655"/>
    </row>
    <row r="656" spans="1:4" x14ac:dyDescent="0.25">
      <c r="A656"/>
      <c r="B656"/>
      <c r="C656"/>
      <c r="D656"/>
    </row>
    <row r="657" spans="1:4" x14ac:dyDescent="0.25">
      <c r="A657"/>
      <c r="B657"/>
      <c r="C657"/>
      <c r="D657"/>
    </row>
    <row r="658" spans="1:4" x14ac:dyDescent="0.25">
      <c r="A658"/>
      <c r="B658"/>
      <c r="C658"/>
      <c r="D658"/>
    </row>
    <row r="659" spans="1:4" x14ac:dyDescent="0.25">
      <c r="A659"/>
      <c r="B659"/>
      <c r="C659"/>
      <c r="D659"/>
    </row>
    <row r="660" spans="1:4" x14ac:dyDescent="0.25">
      <c r="A660"/>
      <c r="B660"/>
      <c r="C660"/>
      <c r="D660"/>
    </row>
    <row r="661" spans="1:4" x14ac:dyDescent="0.25">
      <c r="A661"/>
      <c r="B661"/>
      <c r="C661"/>
      <c r="D661"/>
    </row>
    <row r="662" spans="1:4" x14ac:dyDescent="0.25">
      <c r="A662"/>
      <c r="B662"/>
      <c r="C662"/>
      <c r="D662"/>
    </row>
    <row r="663" spans="1:4" x14ac:dyDescent="0.25">
      <c r="A663"/>
      <c r="B663"/>
      <c r="C663"/>
      <c r="D663"/>
    </row>
    <row r="664" spans="1:4" x14ac:dyDescent="0.25">
      <c r="A664"/>
      <c r="B664"/>
      <c r="C664"/>
      <c r="D664"/>
    </row>
    <row r="665" spans="1:4" x14ac:dyDescent="0.25">
      <c r="A665"/>
      <c r="B665"/>
      <c r="C665"/>
      <c r="D665"/>
    </row>
    <row r="666" spans="1:4" x14ac:dyDescent="0.25">
      <c r="A666"/>
      <c r="B666"/>
      <c r="C666"/>
      <c r="D666"/>
    </row>
    <row r="667" spans="1:4" x14ac:dyDescent="0.25">
      <c r="A667"/>
      <c r="B667"/>
      <c r="C667"/>
      <c r="D667"/>
    </row>
    <row r="668" spans="1:4" x14ac:dyDescent="0.25">
      <c r="A668"/>
      <c r="B668"/>
      <c r="C668"/>
      <c r="D668"/>
    </row>
    <row r="669" spans="1:4" x14ac:dyDescent="0.25">
      <c r="A669"/>
      <c r="B669"/>
      <c r="C669"/>
      <c r="D669"/>
    </row>
    <row r="670" spans="1:4" x14ac:dyDescent="0.25">
      <c r="A670"/>
      <c r="B670"/>
      <c r="C670"/>
      <c r="D670"/>
    </row>
    <row r="671" spans="1:4" x14ac:dyDescent="0.25">
      <c r="A671"/>
      <c r="B671"/>
      <c r="C671"/>
      <c r="D671"/>
    </row>
    <row r="672" spans="1:4" x14ac:dyDescent="0.25">
      <c r="A672"/>
      <c r="B672"/>
      <c r="C672"/>
      <c r="D672"/>
    </row>
    <row r="673" spans="1:4" x14ac:dyDescent="0.25">
      <c r="A673"/>
      <c r="B673"/>
      <c r="C673"/>
      <c r="D673"/>
    </row>
    <row r="674" spans="1:4" x14ac:dyDescent="0.25">
      <c r="A674"/>
      <c r="B674"/>
      <c r="C674"/>
      <c r="D674"/>
    </row>
    <row r="675" spans="1:4" x14ac:dyDescent="0.25">
      <c r="A675"/>
      <c r="B675"/>
      <c r="C675"/>
      <c r="D675"/>
    </row>
    <row r="676" spans="1:4" x14ac:dyDescent="0.25">
      <c r="A676"/>
      <c r="B676"/>
      <c r="C676"/>
      <c r="D676"/>
    </row>
    <row r="677" spans="1:4" x14ac:dyDescent="0.25">
      <c r="A677"/>
      <c r="B677"/>
      <c r="C677"/>
      <c r="D677"/>
    </row>
    <row r="678" spans="1:4" x14ac:dyDescent="0.25">
      <c r="A678"/>
      <c r="B678"/>
      <c r="C678"/>
      <c r="D678"/>
    </row>
    <row r="679" spans="1:4" x14ac:dyDescent="0.25">
      <c r="A679"/>
      <c r="B679"/>
      <c r="C679"/>
      <c r="D679"/>
    </row>
    <row r="680" spans="1:4" x14ac:dyDescent="0.25">
      <c r="A680"/>
      <c r="B680"/>
      <c r="C680"/>
      <c r="D680"/>
    </row>
    <row r="681" spans="1:4" x14ac:dyDescent="0.25">
      <c r="A681"/>
      <c r="B681"/>
      <c r="C681"/>
      <c r="D681"/>
    </row>
    <row r="682" spans="1:4" x14ac:dyDescent="0.25">
      <c r="A682"/>
      <c r="B682"/>
      <c r="C682"/>
      <c r="D682"/>
    </row>
    <row r="683" spans="1:4" x14ac:dyDescent="0.25">
      <c r="A683"/>
      <c r="B683"/>
      <c r="C683"/>
      <c r="D683"/>
    </row>
    <row r="684" spans="1:4" x14ac:dyDescent="0.25">
      <c r="A684"/>
      <c r="B684"/>
      <c r="C684"/>
      <c r="D684"/>
    </row>
    <row r="685" spans="1:4" x14ac:dyDescent="0.25">
      <c r="A685"/>
      <c r="B685"/>
      <c r="C685"/>
      <c r="D685"/>
    </row>
    <row r="686" spans="1:4" x14ac:dyDescent="0.25">
      <c r="A686"/>
      <c r="B686"/>
      <c r="C686"/>
      <c r="D686"/>
    </row>
    <row r="687" spans="1:4" x14ac:dyDescent="0.25">
      <c r="A687"/>
      <c r="B687"/>
      <c r="C687"/>
      <c r="D687"/>
    </row>
    <row r="688" spans="1:4" x14ac:dyDescent="0.25">
      <c r="A688"/>
      <c r="B688"/>
      <c r="C688"/>
      <c r="D688"/>
    </row>
    <row r="689" spans="1:4" x14ac:dyDescent="0.25">
      <c r="A689"/>
      <c r="B689"/>
      <c r="C689"/>
      <c r="D689"/>
    </row>
    <row r="690" spans="1:4" x14ac:dyDescent="0.25">
      <c r="A690"/>
      <c r="B690"/>
      <c r="C690"/>
      <c r="D690"/>
    </row>
    <row r="691" spans="1:4" x14ac:dyDescent="0.25">
      <c r="A691"/>
      <c r="B691"/>
      <c r="C691"/>
      <c r="D691"/>
    </row>
    <row r="692" spans="1:4" x14ac:dyDescent="0.25">
      <c r="A692"/>
      <c r="B692"/>
      <c r="C692"/>
      <c r="D692"/>
    </row>
    <row r="693" spans="1:4" x14ac:dyDescent="0.25">
      <c r="A693"/>
      <c r="B693"/>
      <c r="C693"/>
      <c r="D693"/>
    </row>
    <row r="694" spans="1:4" x14ac:dyDescent="0.25">
      <c r="A694"/>
      <c r="B694"/>
      <c r="C694"/>
      <c r="D694"/>
    </row>
    <row r="695" spans="1:4" x14ac:dyDescent="0.25">
      <c r="A695"/>
      <c r="B695"/>
      <c r="C695"/>
      <c r="D695"/>
    </row>
    <row r="696" spans="1:4" x14ac:dyDescent="0.25">
      <c r="A696"/>
      <c r="B696"/>
      <c r="C696"/>
      <c r="D696"/>
    </row>
    <row r="697" spans="1:4" x14ac:dyDescent="0.25">
      <c r="A697"/>
      <c r="B697"/>
      <c r="C697"/>
      <c r="D697"/>
    </row>
    <row r="698" spans="1:4" x14ac:dyDescent="0.25">
      <c r="A698"/>
      <c r="B698"/>
      <c r="C698"/>
      <c r="D698"/>
    </row>
    <row r="699" spans="1:4" x14ac:dyDescent="0.25">
      <c r="A699"/>
      <c r="B699"/>
      <c r="C699"/>
      <c r="D699"/>
    </row>
    <row r="700" spans="1:4" x14ac:dyDescent="0.25">
      <c r="A700"/>
      <c r="B700"/>
      <c r="C700"/>
      <c r="D700"/>
    </row>
    <row r="701" spans="1:4" x14ac:dyDescent="0.25">
      <c r="A701"/>
      <c r="B701"/>
      <c r="C701"/>
      <c r="D701"/>
    </row>
    <row r="702" spans="1:4" x14ac:dyDescent="0.25">
      <c r="A702"/>
      <c r="B702"/>
      <c r="C702"/>
      <c r="D702"/>
    </row>
    <row r="703" spans="1:4" x14ac:dyDescent="0.25">
      <c r="A703"/>
      <c r="B703"/>
      <c r="C703"/>
      <c r="D703"/>
    </row>
    <row r="704" spans="1:4" x14ac:dyDescent="0.25">
      <c r="A704"/>
      <c r="B704"/>
      <c r="C704"/>
      <c r="D704"/>
    </row>
    <row r="705" spans="1:4" x14ac:dyDescent="0.25">
      <c r="A705"/>
      <c r="B705"/>
      <c r="C705"/>
      <c r="D705"/>
    </row>
    <row r="706" spans="1:4" x14ac:dyDescent="0.25">
      <c r="A706"/>
      <c r="B706"/>
      <c r="C706"/>
      <c r="D706"/>
    </row>
    <row r="707" spans="1:4" x14ac:dyDescent="0.25">
      <c r="A707"/>
      <c r="B707"/>
      <c r="C707"/>
      <c r="D707"/>
    </row>
    <row r="708" spans="1:4" x14ac:dyDescent="0.25">
      <c r="A708"/>
      <c r="B708"/>
      <c r="C708"/>
      <c r="D708"/>
    </row>
    <row r="709" spans="1:4" x14ac:dyDescent="0.25">
      <c r="A709"/>
      <c r="B709"/>
      <c r="C709"/>
      <c r="D709"/>
    </row>
    <row r="710" spans="1:4" x14ac:dyDescent="0.25">
      <c r="A710"/>
      <c r="B710"/>
      <c r="C710"/>
      <c r="D710"/>
    </row>
    <row r="711" spans="1:4" x14ac:dyDescent="0.25">
      <c r="A711"/>
      <c r="B711"/>
      <c r="C711"/>
      <c r="D711"/>
    </row>
    <row r="712" spans="1:4" x14ac:dyDescent="0.25">
      <c r="A712"/>
      <c r="B712"/>
      <c r="C712"/>
      <c r="D712"/>
    </row>
    <row r="713" spans="1:4" x14ac:dyDescent="0.25">
      <c r="A713"/>
      <c r="B713"/>
      <c r="C713"/>
      <c r="D713"/>
    </row>
    <row r="714" spans="1:4" x14ac:dyDescent="0.25">
      <c r="A714"/>
      <c r="B714"/>
      <c r="C714"/>
      <c r="D714"/>
    </row>
    <row r="715" spans="1:4" x14ac:dyDescent="0.25">
      <c r="A715"/>
      <c r="B715"/>
      <c r="C715"/>
      <c r="D715"/>
    </row>
    <row r="716" spans="1:4" x14ac:dyDescent="0.25">
      <c r="A716"/>
      <c r="B716"/>
      <c r="C716"/>
      <c r="D716"/>
    </row>
    <row r="717" spans="1:4" x14ac:dyDescent="0.25">
      <c r="A717"/>
      <c r="B717"/>
      <c r="C717"/>
      <c r="D717"/>
    </row>
    <row r="718" spans="1:4" x14ac:dyDescent="0.25">
      <c r="A718"/>
      <c r="B718"/>
      <c r="C718"/>
      <c r="D718"/>
    </row>
    <row r="719" spans="1:4" x14ac:dyDescent="0.25">
      <c r="A719"/>
      <c r="B719"/>
      <c r="C719"/>
      <c r="D719"/>
    </row>
    <row r="720" spans="1:4" x14ac:dyDescent="0.25">
      <c r="A720"/>
      <c r="B720"/>
      <c r="C720"/>
      <c r="D720"/>
    </row>
    <row r="721" spans="1:4" x14ac:dyDescent="0.25">
      <c r="A721"/>
      <c r="B721"/>
      <c r="C721"/>
      <c r="D721"/>
    </row>
    <row r="722" spans="1:4" x14ac:dyDescent="0.25">
      <c r="A722"/>
      <c r="B722"/>
      <c r="C722"/>
      <c r="D722"/>
    </row>
    <row r="723" spans="1:4" x14ac:dyDescent="0.25">
      <c r="A723"/>
      <c r="B723"/>
      <c r="C723"/>
      <c r="D723"/>
    </row>
    <row r="724" spans="1:4" x14ac:dyDescent="0.25">
      <c r="A724"/>
      <c r="B724"/>
      <c r="C724"/>
      <c r="D724"/>
    </row>
    <row r="725" spans="1:4" x14ac:dyDescent="0.25">
      <c r="A725"/>
      <c r="B725"/>
      <c r="C725"/>
      <c r="D725"/>
    </row>
    <row r="726" spans="1:4" x14ac:dyDescent="0.25">
      <c r="A726"/>
      <c r="B726"/>
      <c r="C726"/>
      <c r="D726"/>
    </row>
    <row r="727" spans="1:4" x14ac:dyDescent="0.25">
      <c r="A727"/>
      <c r="B727"/>
      <c r="C727"/>
      <c r="D727"/>
    </row>
    <row r="728" spans="1:4" x14ac:dyDescent="0.25">
      <c r="A728"/>
      <c r="B728"/>
      <c r="C728"/>
      <c r="D728"/>
    </row>
    <row r="729" spans="1:4" x14ac:dyDescent="0.25">
      <c r="A729"/>
      <c r="B729"/>
      <c r="C729"/>
      <c r="D729"/>
    </row>
    <row r="730" spans="1:4" x14ac:dyDescent="0.25">
      <c r="A730"/>
      <c r="B730"/>
      <c r="C730"/>
      <c r="D730"/>
    </row>
    <row r="731" spans="1:4" x14ac:dyDescent="0.25">
      <c r="A731"/>
      <c r="B731"/>
      <c r="C731"/>
      <c r="D731"/>
    </row>
    <row r="732" spans="1:4" x14ac:dyDescent="0.25">
      <c r="A732"/>
      <c r="B732"/>
      <c r="C732"/>
      <c r="D732"/>
    </row>
    <row r="733" spans="1:4" x14ac:dyDescent="0.25">
      <c r="A733"/>
      <c r="B733"/>
      <c r="C733"/>
      <c r="D733"/>
    </row>
    <row r="734" spans="1:4" x14ac:dyDescent="0.25">
      <c r="A734"/>
      <c r="B734"/>
      <c r="C734"/>
      <c r="D734"/>
    </row>
    <row r="735" spans="1:4" x14ac:dyDescent="0.25">
      <c r="A735"/>
      <c r="B735"/>
      <c r="C735"/>
      <c r="D735"/>
    </row>
    <row r="736" spans="1:4" x14ac:dyDescent="0.25">
      <c r="A736"/>
      <c r="B736"/>
      <c r="C736"/>
      <c r="D736"/>
    </row>
    <row r="737" spans="1:4" x14ac:dyDescent="0.25">
      <c r="A737"/>
      <c r="B737"/>
      <c r="C737"/>
      <c r="D737"/>
    </row>
    <row r="738" spans="1:4" x14ac:dyDescent="0.25">
      <c r="A738"/>
      <c r="B738"/>
      <c r="C738"/>
      <c r="D738"/>
    </row>
    <row r="739" spans="1:4" x14ac:dyDescent="0.25">
      <c r="A739"/>
      <c r="B739"/>
      <c r="C739"/>
      <c r="D739"/>
    </row>
    <row r="740" spans="1:4" x14ac:dyDescent="0.25">
      <c r="A740"/>
      <c r="B740"/>
      <c r="C740"/>
      <c r="D740"/>
    </row>
    <row r="741" spans="1:4" x14ac:dyDescent="0.25">
      <c r="A741"/>
      <c r="B741"/>
      <c r="C741"/>
      <c r="D741"/>
    </row>
    <row r="742" spans="1:4" x14ac:dyDescent="0.25">
      <c r="A742"/>
      <c r="B742"/>
      <c r="C742"/>
      <c r="D742"/>
    </row>
    <row r="743" spans="1:4" x14ac:dyDescent="0.25">
      <c r="A743"/>
      <c r="B743"/>
      <c r="C743"/>
      <c r="D743"/>
    </row>
    <row r="744" spans="1:4" x14ac:dyDescent="0.25">
      <c r="A744"/>
      <c r="B744"/>
      <c r="C744"/>
      <c r="D744"/>
    </row>
    <row r="745" spans="1:4" x14ac:dyDescent="0.25">
      <c r="A745"/>
      <c r="B745"/>
      <c r="C745"/>
      <c r="D745"/>
    </row>
    <row r="746" spans="1:4" x14ac:dyDescent="0.25">
      <c r="A746"/>
      <c r="B746"/>
      <c r="C746"/>
      <c r="D746"/>
    </row>
    <row r="747" spans="1:4" x14ac:dyDescent="0.25">
      <c r="A747"/>
      <c r="B747"/>
      <c r="C747"/>
      <c r="D747"/>
    </row>
    <row r="748" spans="1:4" x14ac:dyDescent="0.25">
      <c r="A748"/>
      <c r="B748"/>
      <c r="C748"/>
      <c r="D748"/>
    </row>
    <row r="749" spans="1:4" x14ac:dyDescent="0.25">
      <c r="A749"/>
      <c r="B749"/>
      <c r="C749"/>
      <c r="D749"/>
    </row>
    <row r="750" spans="1:4" x14ac:dyDescent="0.25">
      <c r="A750"/>
      <c r="B750"/>
      <c r="C750"/>
      <c r="D750"/>
    </row>
    <row r="751" spans="1:4" x14ac:dyDescent="0.25">
      <c r="A751"/>
      <c r="B751"/>
      <c r="C751"/>
      <c r="D751"/>
    </row>
    <row r="752" spans="1:4" x14ac:dyDescent="0.25">
      <c r="A752"/>
      <c r="B752"/>
      <c r="C752"/>
      <c r="D752"/>
    </row>
    <row r="753" spans="1:4" x14ac:dyDescent="0.25">
      <c r="A753"/>
      <c r="B753"/>
      <c r="C753"/>
      <c r="D753"/>
    </row>
    <row r="754" spans="1:4" x14ac:dyDescent="0.25">
      <c r="A754"/>
      <c r="B754"/>
      <c r="C754"/>
      <c r="D754"/>
    </row>
    <row r="755" spans="1:4" x14ac:dyDescent="0.25">
      <c r="A755"/>
      <c r="B755"/>
      <c r="C755"/>
      <c r="D755"/>
    </row>
    <row r="756" spans="1:4" x14ac:dyDescent="0.25">
      <c r="A756"/>
      <c r="B756"/>
      <c r="C756"/>
      <c r="D756"/>
    </row>
    <row r="757" spans="1:4" x14ac:dyDescent="0.25">
      <c r="A757"/>
      <c r="B757"/>
      <c r="C757"/>
      <c r="D757"/>
    </row>
    <row r="758" spans="1:4" x14ac:dyDescent="0.25">
      <c r="A758"/>
      <c r="B758"/>
      <c r="C758"/>
      <c r="D758"/>
    </row>
    <row r="759" spans="1:4" x14ac:dyDescent="0.25">
      <c r="A759"/>
      <c r="B759"/>
      <c r="C759"/>
      <c r="D759"/>
    </row>
    <row r="760" spans="1:4" x14ac:dyDescent="0.25">
      <c r="A760"/>
      <c r="B760"/>
      <c r="C760"/>
      <c r="D760"/>
    </row>
    <row r="761" spans="1:4" x14ac:dyDescent="0.25">
      <c r="A761"/>
      <c r="B761"/>
      <c r="C761"/>
      <c r="D761"/>
    </row>
    <row r="762" spans="1:4" x14ac:dyDescent="0.25">
      <c r="A762"/>
      <c r="B762"/>
      <c r="C762"/>
      <c r="D762"/>
    </row>
    <row r="763" spans="1:4" x14ac:dyDescent="0.25">
      <c r="A763"/>
      <c r="B763"/>
      <c r="C763"/>
      <c r="D763"/>
    </row>
    <row r="764" spans="1:4" x14ac:dyDescent="0.25">
      <c r="A764"/>
      <c r="B764"/>
      <c r="C764"/>
      <c r="D764"/>
    </row>
    <row r="765" spans="1:4" x14ac:dyDescent="0.25">
      <c r="A765"/>
      <c r="B765"/>
      <c r="C765"/>
      <c r="D765"/>
    </row>
    <row r="766" spans="1:4" x14ac:dyDescent="0.25">
      <c r="A766"/>
      <c r="B766"/>
      <c r="C766"/>
      <c r="D766"/>
    </row>
    <row r="767" spans="1:4" x14ac:dyDescent="0.25">
      <c r="A767"/>
      <c r="B767"/>
      <c r="C767"/>
      <c r="D767"/>
    </row>
    <row r="768" spans="1:4" x14ac:dyDescent="0.25">
      <c r="A768"/>
      <c r="B768"/>
      <c r="C768"/>
      <c r="D768"/>
    </row>
    <row r="769" spans="1:4" x14ac:dyDescent="0.25">
      <c r="A769"/>
      <c r="B769"/>
      <c r="C769"/>
      <c r="D769"/>
    </row>
    <row r="770" spans="1:4" x14ac:dyDescent="0.25">
      <c r="A770"/>
      <c r="B770"/>
      <c r="C770"/>
      <c r="D770"/>
    </row>
    <row r="771" spans="1:4" x14ac:dyDescent="0.25">
      <c r="A771"/>
      <c r="B771"/>
      <c r="C771"/>
      <c r="D771"/>
    </row>
    <row r="772" spans="1:4" x14ac:dyDescent="0.25">
      <c r="A772"/>
      <c r="B772"/>
      <c r="C772"/>
      <c r="D772"/>
    </row>
    <row r="773" spans="1:4" x14ac:dyDescent="0.25">
      <c r="A773"/>
      <c r="B773"/>
      <c r="C773"/>
      <c r="D773"/>
    </row>
    <row r="774" spans="1:4" x14ac:dyDescent="0.25">
      <c r="A774"/>
      <c r="B774"/>
      <c r="C774"/>
      <c r="D774"/>
    </row>
    <row r="775" spans="1:4" x14ac:dyDescent="0.25">
      <c r="A775"/>
      <c r="B775"/>
      <c r="C775"/>
      <c r="D775"/>
    </row>
    <row r="776" spans="1:4" x14ac:dyDescent="0.25">
      <c r="A776"/>
      <c r="B776"/>
      <c r="C776"/>
      <c r="D776"/>
    </row>
    <row r="777" spans="1:4" x14ac:dyDescent="0.25">
      <c r="A777"/>
      <c r="B777"/>
      <c r="C777"/>
      <c r="D777"/>
    </row>
    <row r="778" spans="1:4" x14ac:dyDescent="0.25">
      <c r="A778"/>
      <c r="B778"/>
      <c r="C778"/>
      <c r="D778"/>
    </row>
    <row r="779" spans="1:4" x14ac:dyDescent="0.25">
      <c r="A779"/>
      <c r="B779"/>
      <c r="C779"/>
      <c r="D779"/>
    </row>
    <row r="780" spans="1:4" x14ac:dyDescent="0.25">
      <c r="A780"/>
      <c r="B780"/>
      <c r="C780"/>
      <c r="D780"/>
    </row>
    <row r="781" spans="1:4" x14ac:dyDescent="0.25">
      <c r="A781"/>
      <c r="B781"/>
      <c r="C781"/>
      <c r="D781"/>
    </row>
    <row r="782" spans="1:4" x14ac:dyDescent="0.25">
      <c r="A782"/>
      <c r="B782"/>
      <c r="C782"/>
      <c r="D782"/>
    </row>
    <row r="783" spans="1:4" x14ac:dyDescent="0.25">
      <c r="A783"/>
      <c r="B783"/>
      <c r="C783"/>
      <c r="D783"/>
    </row>
    <row r="784" spans="1:4" x14ac:dyDescent="0.25">
      <c r="A784"/>
      <c r="B784"/>
      <c r="C784"/>
      <c r="D784"/>
    </row>
    <row r="785" spans="1:4" x14ac:dyDescent="0.25">
      <c r="A785"/>
      <c r="B785"/>
      <c r="C785"/>
      <c r="D785"/>
    </row>
    <row r="786" spans="1:4" x14ac:dyDescent="0.25">
      <c r="A786"/>
      <c r="B786"/>
      <c r="C786"/>
      <c r="D786"/>
    </row>
    <row r="787" spans="1:4" x14ac:dyDescent="0.25">
      <c r="A787"/>
      <c r="B787"/>
      <c r="C787"/>
      <c r="D787"/>
    </row>
    <row r="788" spans="1:4" x14ac:dyDescent="0.25">
      <c r="A788"/>
      <c r="B788"/>
      <c r="C788"/>
      <c r="D788"/>
    </row>
    <row r="789" spans="1:4" x14ac:dyDescent="0.25">
      <c r="A789"/>
      <c r="B789"/>
      <c r="C789"/>
      <c r="D789"/>
    </row>
    <row r="790" spans="1:4" x14ac:dyDescent="0.25">
      <c r="A790"/>
      <c r="B790"/>
      <c r="C790"/>
      <c r="D790"/>
    </row>
    <row r="791" spans="1:4" x14ac:dyDescent="0.25">
      <c r="A791"/>
      <c r="B791"/>
      <c r="C791"/>
      <c r="D791"/>
    </row>
    <row r="792" spans="1:4" x14ac:dyDescent="0.25">
      <c r="A792"/>
      <c r="B792"/>
      <c r="C792"/>
      <c r="D792"/>
    </row>
    <row r="793" spans="1:4" x14ac:dyDescent="0.25">
      <c r="A793"/>
      <c r="B793"/>
      <c r="C793"/>
      <c r="D793"/>
    </row>
    <row r="794" spans="1:4" x14ac:dyDescent="0.25">
      <c r="A794"/>
      <c r="B794"/>
      <c r="C794"/>
      <c r="D794"/>
    </row>
    <row r="795" spans="1:4" x14ac:dyDescent="0.25">
      <c r="A795"/>
      <c r="B795"/>
      <c r="C795"/>
      <c r="D795"/>
    </row>
    <row r="796" spans="1:4" x14ac:dyDescent="0.25">
      <c r="A796"/>
      <c r="B796"/>
      <c r="C796"/>
      <c r="D796"/>
    </row>
    <row r="797" spans="1:4" x14ac:dyDescent="0.25">
      <c r="A797"/>
      <c r="B797"/>
      <c r="C797"/>
      <c r="D797"/>
    </row>
    <row r="798" spans="1:4" x14ac:dyDescent="0.25">
      <c r="A798"/>
      <c r="B798"/>
      <c r="C798"/>
      <c r="D798"/>
    </row>
    <row r="799" spans="1:4" x14ac:dyDescent="0.25">
      <c r="A799"/>
      <c r="B799"/>
      <c r="C799"/>
      <c r="D799"/>
    </row>
    <row r="800" spans="1:4" x14ac:dyDescent="0.25">
      <c r="A800"/>
      <c r="B800"/>
      <c r="C800"/>
      <c r="D800"/>
    </row>
    <row r="801" spans="1:4" x14ac:dyDescent="0.25">
      <c r="A801"/>
      <c r="B801"/>
      <c r="C801"/>
      <c r="D801"/>
    </row>
    <row r="802" spans="1:4" x14ac:dyDescent="0.25">
      <c r="A802"/>
      <c r="B802"/>
      <c r="C802"/>
      <c r="D802"/>
    </row>
    <row r="803" spans="1:4" x14ac:dyDescent="0.25">
      <c r="A803"/>
      <c r="B803"/>
      <c r="C803"/>
      <c r="D803"/>
    </row>
    <row r="804" spans="1:4" x14ac:dyDescent="0.25">
      <c r="A804"/>
      <c r="B804"/>
      <c r="C804"/>
      <c r="D804"/>
    </row>
    <row r="805" spans="1:4" x14ac:dyDescent="0.25">
      <c r="A805"/>
      <c r="B805"/>
      <c r="C805"/>
      <c r="D805"/>
    </row>
    <row r="806" spans="1:4" x14ac:dyDescent="0.25">
      <c r="A806"/>
      <c r="B806"/>
      <c r="C806"/>
      <c r="D806"/>
    </row>
    <row r="807" spans="1:4" x14ac:dyDescent="0.25">
      <c r="A807"/>
      <c r="B807"/>
      <c r="C807"/>
      <c r="D807"/>
    </row>
    <row r="808" spans="1:4" x14ac:dyDescent="0.25">
      <c r="A808"/>
      <c r="B808"/>
      <c r="C808"/>
      <c r="D808"/>
    </row>
    <row r="809" spans="1:4" x14ac:dyDescent="0.25">
      <c r="A809"/>
      <c r="B809"/>
      <c r="C809"/>
      <c r="D809"/>
    </row>
    <row r="810" spans="1:4" x14ac:dyDescent="0.25">
      <c r="A810"/>
      <c r="B810"/>
      <c r="C810"/>
      <c r="D810"/>
    </row>
    <row r="811" spans="1:4" x14ac:dyDescent="0.25">
      <c r="A811"/>
      <c r="B811"/>
      <c r="C811"/>
      <c r="D811"/>
    </row>
    <row r="812" spans="1:4" x14ac:dyDescent="0.25">
      <c r="A812"/>
      <c r="B812"/>
      <c r="C812"/>
      <c r="D812"/>
    </row>
    <row r="813" spans="1:4" x14ac:dyDescent="0.25">
      <c r="A813"/>
      <c r="B813"/>
      <c r="C813"/>
      <c r="D813"/>
    </row>
    <row r="814" spans="1:4" x14ac:dyDescent="0.25">
      <c r="A814"/>
      <c r="B814"/>
      <c r="C814"/>
      <c r="D814"/>
    </row>
    <row r="815" spans="1:4" x14ac:dyDescent="0.25">
      <c r="A815"/>
      <c r="B815"/>
      <c r="C815"/>
      <c r="D815"/>
    </row>
    <row r="816" spans="1:4" x14ac:dyDescent="0.25">
      <c r="A816"/>
      <c r="B816"/>
      <c r="C816"/>
      <c r="D816"/>
    </row>
    <row r="817" spans="1:4" x14ac:dyDescent="0.25">
      <c r="A817"/>
      <c r="B817"/>
      <c r="C817"/>
      <c r="D817"/>
    </row>
    <row r="818" spans="1:4" x14ac:dyDescent="0.25">
      <c r="A818"/>
      <c r="B818"/>
      <c r="C818"/>
      <c r="D818"/>
    </row>
    <row r="819" spans="1:4" x14ac:dyDescent="0.25">
      <c r="A819"/>
      <c r="B819"/>
      <c r="C819"/>
      <c r="D819"/>
    </row>
    <row r="820" spans="1:4" x14ac:dyDescent="0.25">
      <c r="A820"/>
      <c r="B820"/>
      <c r="C820"/>
      <c r="D820"/>
    </row>
    <row r="821" spans="1:4" x14ac:dyDescent="0.25">
      <c r="A821"/>
      <c r="B821"/>
      <c r="C821"/>
      <c r="D821"/>
    </row>
    <row r="822" spans="1:4" x14ac:dyDescent="0.25">
      <c r="A822"/>
      <c r="B822"/>
      <c r="C822"/>
      <c r="D822"/>
    </row>
    <row r="823" spans="1:4" x14ac:dyDescent="0.25">
      <c r="A823"/>
      <c r="B823"/>
      <c r="C823"/>
      <c r="D823"/>
    </row>
    <row r="824" spans="1:4" x14ac:dyDescent="0.25">
      <c r="A824"/>
      <c r="B824"/>
      <c r="C824"/>
      <c r="D824"/>
    </row>
    <row r="825" spans="1:4" x14ac:dyDescent="0.25">
      <c r="A825"/>
      <c r="B825"/>
      <c r="C825"/>
      <c r="D825"/>
    </row>
    <row r="826" spans="1:4" x14ac:dyDescent="0.25">
      <c r="A826"/>
      <c r="B826"/>
      <c r="C826"/>
      <c r="D826"/>
    </row>
    <row r="827" spans="1:4" x14ac:dyDescent="0.25">
      <c r="A827"/>
      <c r="B827"/>
      <c r="C827"/>
      <c r="D827"/>
    </row>
    <row r="828" spans="1:4" x14ac:dyDescent="0.25">
      <c r="A828"/>
      <c r="B828"/>
      <c r="C828"/>
      <c r="D828"/>
    </row>
    <row r="829" spans="1:4" x14ac:dyDescent="0.25">
      <c r="A829"/>
      <c r="B829"/>
      <c r="C829"/>
      <c r="D829"/>
    </row>
    <row r="830" spans="1:4" x14ac:dyDescent="0.25">
      <c r="A830"/>
      <c r="B830"/>
      <c r="C830"/>
      <c r="D830"/>
    </row>
    <row r="831" spans="1:4" x14ac:dyDescent="0.25">
      <c r="A831"/>
      <c r="B831"/>
      <c r="C831"/>
      <c r="D831"/>
    </row>
    <row r="832" spans="1:4" x14ac:dyDescent="0.25">
      <c r="A832"/>
      <c r="B832"/>
      <c r="C832"/>
      <c r="D832"/>
    </row>
    <row r="833" spans="1:4" x14ac:dyDescent="0.25">
      <c r="A833"/>
      <c r="B833"/>
      <c r="C833"/>
      <c r="D833"/>
    </row>
    <row r="834" spans="1:4" x14ac:dyDescent="0.25">
      <c r="A834"/>
      <c r="B834"/>
      <c r="C834"/>
      <c r="D834"/>
    </row>
    <row r="835" spans="1:4" x14ac:dyDescent="0.25">
      <c r="A835"/>
      <c r="B835"/>
      <c r="C835"/>
      <c r="D835"/>
    </row>
    <row r="836" spans="1:4" x14ac:dyDescent="0.25">
      <c r="A836"/>
      <c r="B836"/>
      <c r="C836"/>
      <c r="D836"/>
    </row>
    <row r="837" spans="1:4" x14ac:dyDescent="0.25">
      <c r="A837"/>
      <c r="B837"/>
      <c r="C837"/>
      <c r="D837"/>
    </row>
    <row r="838" spans="1:4" x14ac:dyDescent="0.25">
      <c r="A838"/>
      <c r="B838"/>
      <c r="C838"/>
      <c r="D838"/>
    </row>
    <row r="839" spans="1:4" x14ac:dyDescent="0.25">
      <c r="A839"/>
      <c r="B839"/>
      <c r="C839"/>
      <c r="D839"/>
    </row>
    <row r="840" spans="1:4" x14ac:dyDescent="0.25">
      <c r="A840"/>
      <c r="B840"/>
      <c r="C840"/>
      <c r="D840"/>
    </row>
    <row r="841" spans="1:4" x14ac:dyDescent="0.25">
      <c r="A841"/>
      <c r="B841"/>
      <c r="C841"/>
      <c r="D841"/>
    </row>
    <row r="842" spans="1:4" x14ac:dyDescent="0.25">
      <c r="A842"/>
      <c r="B842"/>
      <c r="C842"/>
      <c r="D842"/>
    </row>
    <row r="843" spans="1:4" x14ac:dyDescent="0.25">
      <c r="A843"/>
      <c r="B843"/>
      <c r="C843"/>
      <c r="D843"/>
    </row>
    <row r="844" spans="1:4" x14ac:dyDescent="0.25">
      <c r="A844"/>
      <c r="B844"/>
      <c r="C844"/>
      <c r="D844"/>
    </row>
    <row r="845" spans="1:4" x14ac:dyDescent="0.25">
      <c r="A845"/>
      <c r="B845"/>
      <c r="C845"/>
      <c r="D845"/>
    </row>
    <row r="846" spans="1:4" x14ac:dyDescent="0.25">
      <c r="A846"/>
      <c r="B846"/>
      <c r="C846"/>
      <c r="D846"/>
    </row>
    <row r="847" spans="1:4" x14ac:dyDescent="0.25">
      <c r="A847"/>
      <c r="B847"/>
      <c r="C847"/>
      <c r="D847"/>
    </row>
    <row r="848" spans="1:4" x14ac:dyDescent="0.25">
      <c r="A848"/>
      <c r="B848"/>
      <c r="C848"/>
      <c r="D848"/>
    </row>
    <row r="849" spans="1:4" x14ac:dyDescent="0.25">
      <c r="A849"/>
      <c r="B849"/>
      <c r="C849"/>
      <c r="D849"/>
    </row>
    <row r="850" spans="1:4" x14ac:dyDescent="0.25">
      <c r="A850"/>
      <c r="B850"/>
      <c r="C850"/>
      <c r="D850"/>
    </row>
    <row r="851" spans="1:4" x14ac:dyDescent="0.25">
      <c r="A851"/>
      <c r="B851"/>
      <c r="C851"/>
      <c r="D851"/>
    </row>
    <row r="852" spans="1:4" x14ac:dyDescent="0.25">
      <c r="A852"/>
      <c r="B852"/>
      <c r="C852"/>
      <c r="D852"/>
    </row>
    <row r="853" spans="1:4" x14ac:dyDescent="0.25">
      <c r="A853"/>
      <c r="B853"/>
      <c r="C853"/>
      <c r="D853"/>
    </row>
    <row r="854" spans="1:4" x14ac:dyDescent="0.25">
      <c r="A854"/>
      <c r="B854"/>
      <c r="C854"/>
      <c r="D854"/>
    </row>
    <row r="855" spans="1:4" x14ac:dyDescent="0.25">
      <c r="A855"/>
      <c r="B855"/>
      <c r="C855"/>
      <c r="D855"/>
    </row>
    <row r="856" spans="1:4" x14ac:dyDescent="0.25">
      <c r="A856"/>
      <c r="B856"/>
      <c r="C856"/>
      <c r="D856"/>
    </row>
    <row r="857" spans="1:4" x14ac:dyDescent="0.25">
      <c r="A857"/>
      <c r="B857"/>
      <c r="C857"/>
      <c r="D857"/>
    </row>
    <row r="858" spans="1:4" x14ac:dyDescent="0.25">
      <c r="A858"/>
      <c r="B858"/>
      <c r="C858"/>
      <c r="D858"/>
    </row>
    <row r="859" spans="1:4" x14ac:dyDescent="0.25">
      <c r="A859"/>
      <c r="B859"/>
      <c r="C859"/>
      <c r="D859"/>
    </row>
    <row r="860" spans="1:4" x14ac:dyDescent="0.25">
      <c r="A860"/>
      <c r="B860"/>
      <c r="C860"/>
      <c r="D860"/>
    </row>
    <row r="861" spans="1:4" x14ac:dyDescent="0.25">
      <c r="A861"/>
      <c r="B861"/>
      <c r="C861"/>
      <c r="D861"/>
    </row>
    <row r="862" spans="1:4" x14ac:dyDescent="0.25">
      <c r="A862"/>
      <c r="B862"/>
      <c r="C862"/>
      <c r="D862"/>
    </row>
    <row r="863" spans="1:4" x14ac:dyDescent="0.25">
      <c r="A863"/>
      <c r="B863"/>
      <c r="C863"/>
      <c r="D863"/>
    </row>
    <row r="864" spans="1:4" x14ac:dyDescent="0.25">
      <c r="A864"/>
      <c r="B864"/>
      <c r="C864"/>
      <c r="D864"/>
    </row>
    <row r="865" spans="1:4" x14ac:dyDescent="0.25">
      <c r="A865"/>
      <c r="B865"/>
      <c r="C865"/>
      <c r="D865"/>
    </row>
    <row r="866" spans="1:4" x14ac:dyDescent="0.25">
      <c r="A866"/>
      <c r="B866"/>
      <c r="C866"/>
      <c r="D866"/>
    </row>
    <row r="867" spans="1:4" x14ac:dyDescent="0.25">
      <c r="A867"/>
      <c r="B867"/>
      <c r="C867"/>
      <c r="D867"/>
    </row>
    <row r="868" spans="1:4" x14ac:dyDescent="0.25">
      <c r="A868"/>
      <c r="B868"/>
      <c r="C868"/>
      <c r="D868"/>
    </row>
    <row r="869" spans="1:4" x14ac:dyDescent="0.25">
      <c r="A869"/>
      <c r="B869"/>
      <c r="C869"/>
      <c r="D869"/>
    </row>
    <row r="870" spans="1:4" x14ac:dyDescent="0.25">
      <c r="A870"/>
      <c r="B870"/>
      <c r="C870"/>
      <c r="D870"/>
    </row>
    <row r="871" spans="1:4" x14ac:dyDescent="0.25">
      <c r="A871"/>
      <c r="B871"/>
      <c r="C871"/>
      <c r="D871"/>
    </row>
    <row r="872" spans="1:4" x14ac:dyDescent="0.25">
      <c r="A872"/>
      <c r="B872"/>
      <c r="C872"/>
      <c r="D872"/>
    </row>
    <row r="873" spans="1:4" x14ac:dyDescent="0.25">
      <c r="A873"/>
      <c r="B873"/>
      <c r="C873"/>
      <c r="D873"/>
    </row>
    <row r="874" spans="1:4" x14ac:dyDescent="0.25">
      <c r="A874"/>
      <c r="B874"/>
      <c r="C874"/>
      <c r="D874"/>
    </row>
    <row r="875" spans="1:4" x14ac:dyDescent="0.25">
      <c r="A875"/>
      <c r="B875"/>
      <c r="C875"/>
      <c r="D875"/>
    </row>
    <row r="876" spans="1:4" x14ac:dyDescent="0.25">
      <c r="A876"/>
      <c r="B876"/>
      <c r="C876"/>
      <c r="D876"/>
    </row>
    <row r="877" spans="1:4" x14ac:dyDescent="0.25">
      <c r="A877"/>
      <c r="B877"/>
      <c r="C877"/>
      <c r="D877"/>
    </row>
    <row r="878" spans="1:4" x14ac:dyDescent="0.25">
      <c r="A878"/>
      <c r="B878"/>
      <c r="C878"/>
      <c r="D878"/>
    </row>
    <row r="879" spans="1:4" x14ac:dyDescent="0.25">
      <c r="A879"/>
      <c r="B879"/>
      <c r="C879"/>
      <c r="D879"/>
    </row>
    <row r="880" spans="1:4" x14ac:dyDescent="0.25">
      <c r="A880"/>
      <c r="B880"/>
      <c r="C880"/>
      <c r="D880"/>
    </row>
    <row r="881" spans="1:4" x14ac:dyDescent="0.25">
      <c r="A881"/>
      <c r="B881"/>
      <c r="C881"/>
      <c r="D881"/>
    </row>
    <row r="882" spans="1:4" x14ac:dyDescent="0.25">
      <c r="A882"/>
      <c r="B882"/>
      <c r="C882"/>
      <c r="D882"/>
    </row>
    <row r="883" spans="1:4" x14ac:dyDescent="0.25">
      <c r="A883"/>
      <c r="B883"/>
      <c r="C883"/>
      <c r="D883"/>
    </row>
    <row r="884" spans="1:4" x14ac:dyDescent="0.25">
      <c r="A884"/>
      <c r="B884"/>
      <c r="C884"/>
      <c r="D884"/>
    </row>
    <row r="885" spans="1:4" x14ac:dyDescent="0.25">
      <c r="A885"/>
      <c r="B885"/>
      <c r="C885"/>
      <c r="D885"/>
    </row>
    <row r="886" spans="1:4" x14ac:dyDescent="0.25">
      <c r="A886"/>
      <c r="B886"/>
      <c r="C886"/>
      <c r="D886"/>
    </row>
    <row r="887" spans="1:4" x14ac:dyDescent="0.25">
      <c r="A887"/>
      <c r="B887"/>
      <c r="C887"/>
      <c r="D887"/>
    </row>
    <row r="888" spans="1:4" x14ac:dyDescent="0.25">
      <c r="A888"/>
      <c r="B888"/>
      <c r="C888"/>
      <c r="D888"/>
    </row>
    <row r="889" spans="1:4" x14ac:dyDescent="0.25">
      <c r="A889"/>
      <c r="B889"/>
      <c r="C889"/>
      <c r="D889"/>
    </row>
    <row r="890" spans="1:4" x14ac:dyDescent="0.25">
      <c r="A890"/>
      <c r="B890"/>
      <c r="C890"/>
      <c r="D890"/>
    </row>
    <row r="891" spans="1:4" x14ac:dyDescent="0.25">
      <c r="A891"/>
      <c r="B891"/>
      <c r="C891"/>
      <c r="D891"/>
    </row>
    <row r="892" spans="1:4" x14ac:dyDescent="0.25">
      <c r="A892"/>
      <c r="B892"/>
      <c r="C892"/>
      <c r="D892"/>
    </row>
    <row r="893" spans="1:4" x14ac:dyDescent="0.25">
      <c r="A893"/>
      <c r="B893"/>
      <c r="C893"/>
      <c r="D893"/>
    </row>
    <row r="894" spans="1:4" x14ac:dyDescent="0.25">
      <c r="A894"/>
      <c r="B894"/>
      <c r="C894"/>
      <c r="D894"/>
    </row>
    <row r="895" spans="1:4" x14ac:dyDescent="0.25">
      <c r="A895"/>
      <c r="B895"/>
      <c r="C895"/>
      <c r="D895"/>
    </row>
    <row r="896" spans="1:4" x14ac:dyDescent="0.25">
      <c r="A896"/>
      <c r="B896"/>
      <c r="C896"/>
      <c r="D896"/>
    </row>
    <row r="897" spans="1:4" x14ac:dyDescent="0.25">
      <c r="A897"/>
      <c r="B897"/>
      <c r="C897"/>
      <c r="D897"/>
    </row>
    <row r="898" spans="1:4" x14ac:dyDescent="0.25">
      <c r="A898"/>
      <c r="B898"/>
      <c r="C898"/>
      <c r="D898"/>
    </row>
    <row r="899" spans="1:4" x14ac:dyDescent="0.25">
      <c r="A899"/>
      <c r="B899"/>
      <c r="C899"/>
      <c r="D899"/>
    </row>
    <row r="900" spans="1:4" x14ac:dyDescent="0.25">
      <c r="A900"/>
      <c r="B900"/>
      <c r="C900"/>
      <c r="D900"/>
    </row>
    <row r="901" spans="1:4" x14ac:dyDescent="0.25">
      <c r="A901"/>
      <c r="B901"/>
      <c r="C901"/>
      <c r="D901"/>
    </row>
    <row r="902" spans="1:4" x14ac:dyDescent="0.25">
      <c r="A902"/>
      <c r="B902"/>
      <c r="C902"/>
      <c r="D902"/>
    </row>
    <row r="903" spans="1:4" x14ac:dyDescent="0.25">
      <c r="A903"/>
      <c r="B903"/>
      <c r="C903"/>
      <c r="D903"/>
    </row>
    <row r="904" spans="1:4" x14ac:dyDescent="0.25">
      <c r="A904"/>
      <c r="B904"/>
      <c r="C904"/>
      <c r="D904"/>
    </row>
    <row r="905" spans="1:4" x14ac:dyDescent="0.25">
      <c r="A905"/>
      <c r="B905"/>
      <c r="C905"/>
      <c r="D905"/>
    </row>
    <row r="906" spans="1:4" x14ac:dyDescent="0.25">
      <c r="A906"/>
      <c r="B906"/>
      <c r="C906"/>
      <c r="D906"/>
    </row>
    <row r="907" spans="1:4" x14ac:dyDescent="0.25">
      <c r="A907"/>
      <c r="B907"/>
      <c r="C907"/>
      <c r="D907"/>
    </row>
    <row r="908" spans="1:4" x14ac:dyDescent="0.25">
      <c r="A908"/>
      <c r="B908"/>
      <c r="C908"/>
      <c r="D908"/>
    </row>
    <row r="909" spans="1:4" x14ac:dyDescent="0.25">
      <c r="A909"/>
      <c r="B909"/>
      <c r="C909"/>
      <c r="D909"/>
    </row>
    <row r="910" spans="1:4" x14ac:dyDescent="0.25">
      <c r="A910"/>
      <c r="B910"/>
      <c r="C910"/>
      <c r="D910"/>
    </row>
    <row r="911" spans="1:4" x14ac:dyDescent="0.25">
      <c r="A911"/>
      <c r="B911"/>
      <c r="C911"/>
      <c r="D911"/>
    </row>
    <row r="912" spans="1:4" x14ac:dyDescent="0.25">
      <c r="A912"/>
      <c r="B912"/>
      <c r="C912"/>
      <c r="D912"/>
    </row>
    <row r="913" spans="1:4" x14ac:dyDescent="0.25">
      <c r="A913"/>
      <c r="B913"/>
      <c r="C913"/>
      <c r="D913"/>
    </row>
    <row r="914" spans="1:4" x14ac:dyDescent="0.25">
      <c r="A914"/>
      <c r="B914"/>
      <c r="C914"/>
      <c r="D914"/>
    </row>
    <row r="915" spans="1:4" x14ac:dyDescent="0.25">
      <c r="A915"/>
      <c r="B915"/>
      <c r="C915"/>
      <c r="D915"/>
    </row>
    <row r="916" spans="1:4" x14ac:dyDescent="0.25">
      <c r="A916"/>
      <c r="B916"/>
      <c r="C916"/>
      <c r="D916"/>
    </row>
    <row r="917" spans="1:4" x14ac:dyDescent="0.25">
      <c r="A917"/>
      <c r="B917"/>
      <c r="C917"/>
      <c r="D917"/>
    </row>
    <row r="918" spans="1:4" x14ac:dyDescent="0.25">
      <c r="A918"/>
      <c r="B918"/>
      <c r="C918"/>
      <c r="D918"/>
    </row>
    <row r="919" spans="1:4" x14ac:dyDescent="0.25">
      <c r="A919"/>
      <c r="B919"/>
      <c r="C919"/>
      <c r="D919"/>
    </row>
    <row r="920" spans="1:4" x14ac:dyDescent="0.25">
      <c r="A920"/>
      <c r="B920"/>
      <c r="C920"/>
      <c r="D920"/>
    </row>
    <row r="921" spans="1:4" x14ac:dyDescent="0.25">
      <c r="A921"/>
      <c r="B921"/>
      <c r="C921"/>
      <c r="D921"/>
    </row>
    <row r="922" spans="1:4" x14ac:dyDescent="0.25">
      <c r="A922"/>
      <c r="B922"/>
      <c r="C922"/>
      <c r="D922"/>
    </row>
    <row r="923" spans="1:4" x14ac:dyDescent="0.25">
      <c r="A923"/>
      <c r="B923"/>
      <c r="C923"/>
      <c r="D923"/>
    </row>
    <row r="924" spans="1:4" x14ac:dyDescent="0.25">
      <c r="A924"/>
      <c r="B924"/>
      <c r="C924"/>
      <c r="D924"/>
    </row>
    <row r="925" spans="1:4" x14ac:dyDescent="0.25">
      <c r="A925"/>
      <c r="B925"/>
      <c r="C925"/>
      <c r="D925"/>
    </row>
    <row r="926" spans="1:4" x14ac:dyDescent="0.25">
      <c r="A926"/>
      <c r="B926"/>
      <c r="C926"/>
      <c r="D926"/>
    </row>
    <row r="927" spans="1:4" x14ac:dyDescent="0.25">
      <c r="A927"/>
      <c r="B927"/>
      <c r="C927"/>
      <c r="D927"/>
    </row>
    <row r="928" spans="1:4" x14ac:dyDescent="0.25">
      <c r="A928"/>
      <c r="B928"/>
      <c r="C928"/>
      <c r="D928"/>
    </row>
    <row r="929" spans="1:4" x14ac:dyDescent="0.25">
      <c r="A929"/>
      <c r="B929"/>
      <c r="C929"/>
      <c r="D929"/>
    </row>
    <row r="930" spans="1:4" x14ac:dyDescent="0.25">
      <c r="A930"/>
      <c r="B930"/>
      <c r="C930"/>
      <c r="D930"/>
    </row>
    <row r="931" spans="1:4" x14ac:dyDescent="0.25">
      <c r="A931"/>
      <c r="B931"/>
      <c r="C931"/>
      <c r="D931"/>
    </row>
    <row r="932" spans="1:4" x14ac:dyDescent="0.25">
      <c r="A932"/>
      <c r="B932"/>
      <c r="C932"/>
      <c r="D932"/>
    </row>
    <row r="933" spans="1:4" x14ac:dyDescent="0.25">
      <c r="A933"/>
      <c r="B933"/>
      <c r="C933"/>
      <c r="D933"/>
    </row>
    <row r="934" spans="1:4" x14ac:dyDescent="0.25">
      <c r="A934"/>
      <c r="B934"/>
      <c r="C934"/>
      <c r="D934"/>
    </row>
    <row r="935" spans="1:4" x14ac:dyDescent="0.25">
      <c r="A935"/>
      <c r="B935"/>
      <c r="C935"/>
      <c r="D935"/>
    </row>
    <row r="936" spans="1:4" x14ac:dyDescent="0.25">
      <c r="A936"/>
      <c r="B936"/>
      <c r="C936"/>
      <c r="D936"/>
    </row>
    <row r="937" spans="1:4" x14ac:dyDescent="0.25">
      <c r="A937"/>
      <c r="B937"/>
      <c r="C937"/>
      <c r="D937"/>
    </row>
    <row r="938" spans="1:4" x14ac:dyDescent="0.25">
      <c r="A938"/>
      <c r="B938"/>
      <c r="C938"/>
      <c r="D938"/>
    </row>
    <row r="939" spans="1:4" x14ac:dyDescent="0.25">
      <c r="A939"/>
      <c r="B939"/>
      <c r="C939"/>
      <c r="D939"/>
    </row>
    <row r="940" spans="1:4" x14ac:dyDescent="0.25">
      <c r="A940"/>
      <c r="B940"/>
      <c r="C940"/>
      <c r="D940"/>
    </row>
    <row r="941" spans="1:4" x14ac:dyDescent="0.25">
      <c r="A941"/>
      <c r="B941"/>
      <c r="C941"/>
      <c r="D941"/>
    </row>
    <row r="942" spans="1:4" x14ac:dyDescent="0.25">
      <c r="A942"/>
      <c r="B942"/>
      <c r="C942"/>
      <c r="D942"/>
    </row>
    <row r="943" spans="1:4" x14ac:dyDescent="0.25">
      <c r="A943"/>
      <c r="B943"/>
      <c r="C943"/>
      <c r="D943"/>
    </row>
    <row r="944" spans="1:4" x14ac:dyDescent="0.25">
      <c r="A944"/>
      <c r="B944"/>
      <c r="C944"/>
      <c r="D944"/>
    </row>
    <row r="945" spans="1:4" x14ac:dyDescent="0.25">
      <c r="A945"/>
      <c r="B945"/>
      <c r="C945"/>
      <c r="D945"/>
    </row>
    <row r="946" spans="1:4" x14ac:dyDescent="0.25">
      <c r="A946"/>
      <c r="B946"/>
      <c r="C946"/>
      <c r="D946"/>
    </row>
    <row r="947" spans="1:4" x14ac:dyDescent="0.25">
      <c r="A947"/>
      <c r="B947"/>
      <c r="C947"/>
      <c r="D947"/>
    </row>
    <row r="948" spans="1:4" x14ac:dyDescent="0.25">
      <c r="A948"/>
      <c r="B948"/>
      <c r="C948"/>
      <c r="D948"/>
    </row>
    <row r="949" spans="1:4" x14ac:dyDescent="0.25">
      <c r="A949"/>
      <c r="B949"/>
      <c r="C949"/>
      <c r="D949"/>
    </row>
    <row r="950" spans="1:4" x14ac:dyDescent="0.25">
      <c r="A950"/>
      <c r="B950"/>
      <c r="C950"/>
      <c r="D950"/>
    </row>
    <row r="951" spans="1:4" x14ac:dyDescent="0.25">
      <c r="A951"/>
      <c r="B951"/>
      <c r="C951"/>
      <c r="D951"/>
    </row>
    <row r="952" spans="1:4" x14ac:dyDescent="0.25">
      <c r="A952"/>
      <c r="B952"/>
      <c r="C952"/>
      <c r="D952"/>
    </row>
    <row r="953" spans="1:4" x14ac:dyDescent="0.25">
      <c r="A953"/>
      <c r="B953"/>
      <c r="C953"/>
      <c r="D953"/>
    </row>
    <row r="954" spans="1:4" x14ac:dyDescent="0.25">
      <c r="A954"/>
      <c r="B954"/>
      <c r="C954"/>
      <c r="D954"/>
    </row>
    <row r="955" spans="1:4" x14ac:dyDescent="0.25">
      <c r="A955"/>
      <c r="B955"/>
      <c r="C955"/>
      <c r="D955"/>
    </row>
    <row r="956" spans="1:4" x14ac:dyDescent="0.25">
      <c r="A956"/>
      <c r="B956"/>
      <c r="C956"/>
      <c r="D956"/>
    </row>
    <row r="957" spans="1:4" x14ac:dyDescent="0.25">
      <c r="A957"/>
      <c r="B957"/>
      <c r="C957"/>
      <c r="D957"/>
    </row>
    <row r="958" spans="1:4" x14ac:dyDescent="0.25">
      <c r="A958"/>
      <c r="B958"/>
      <c r="C958"/>
      <c r="D958"/>
    </row>
    <row r="959" spans="1:4" x14ac:dyDescent="0.25">
      <c r="A959"/>
      <c r="B959"/>
      <c r="C959"/>
      <c r="D959"/>
    </row>
    <row r="960" spans="1:4" x14ac:dyDescent="0.25">
      <c r="A960"/>
      <c r="B960"/>
      <c r="C960"/>
      <c r="D960"/>
    </row>
    <row r="961" spans="1:4" x14ac:dyDescent="0.25">
      <c r="A961"/>
      <c r="B961"/>
      <c r="C961"/>
      <c r="D961"/>
    </row>
    <row r="962" spans="1:4" x14ac:dyDescent="0.25">
      <c r="A962"/>
      <c r="B962"/>
      <c r="C962"/>
      <c r="D962"/>
    </row>
    <row r="963" spans="1:4" x14ac:dyDescent="0.25">
      <c r="A963"/>
      <c r="B963"/>
      <c r="C963"/>
      <c r="D963"/>
    </row>
    <row r="964" spans="1:4" x14ac:dyDescent="0.25">
      <c r="A964"/>
      <c r="B964"/>
      <c r="C964"/>
      <c r="D964"/>
    </row>
    <row r="965" spans="1:4" x14ac:dyDescent="0.25">
      <c r="A965"/>
      <c r="B965"/>
      <c r="C965"/>
      <c r="D965"/>
    </row>
    <row r="966" spans="1:4" x14ac:dyDescent="0.25">
      <c r="A966"/>
      <c r="B966"/>
      <c r="C966"/>
      <c r="D966"/>
    </row>
    <row r="967" spans="1:4" x14ac:dyDescent="0.25">
      <c r="A967"/>
      <c r="B967"/>
      <c r="C967"/>
      <c r="D967"/>
    </row>
    <row r="968" spans="1:4" x14ac:dyDescent="0.25">
      <c r="A968"/>
      <c r="B968"/>
      <c r="C968"/>
      <c r="D968"/>
    </row>
    <row r="969" spans="1:4" x14ac:dyDescent="0.25">
      <c r="A969"/>
      <c r="B969"/>
      <c r="C969"/>
      <c r="D969"/>
    </row>
    <row r="970" spans="1:4" x14ac:dyDescent="0.25">
      <c r="A970"/>
      <c r="B970"/>
      <c r="C970"/>
      <c r="D970"/>
    </row>
    <row r="971" spans="1:4" x14ac:dyDescent="0.25">
      <c r="A971"/>
      <c r="B971"/>
      <c r="C971"/>
      <c r="D971"/>
    </row>
    <row r="972" spans="1:4" x14ac:dyDescent="0.25">
      <c r="A972"/>
      <c r="B972"/>
      <c r="C972"/>
      <c r="D972"/>
    </row>
    <row r="973" spans="1:4" x14ac:dyDescent="0.25">
      <c r="A973"/>
      <c r="B973"/>
      <c r="C973"/>
      <c r="D973"/>
    </row>
    <row r="974" spans="1:4" x14ac:dyDescent="0.25">
      <c r="A974"/>
      <c r="B974"/>
      <c r="C974"/>
      <c r="D974"/>
    </row>
    <row r="975" spans="1:4" x14ac:dyDescent="0.25">
      <c r="A975"/>
      <c r="B975"/>
      <c r="C975"/>
      <c r="D975"/>
    </row>
    <row r="976" spans="1:4" x14ac:dyDescent="0.25">
      <c r="A976"/>
      <c r="B976"/>
      <c r="C976"/>
      <c r="D976"/>
    </row>
    <row r="977" spans="1:4" x14ac:dyDescent="0.25">
      <c r="A977"/>
      <c r="B977"/>
      <c r="C977"/>
      <c r="D977"/>
    </row>
    <row r="978" spans="1:4" x14ac:dyDescent="0.25">
      <c r="A978"/>
      <c r="B978"/>
      <c r="C978"/>
      <c r="D978"/>
    </row>
    <row r="979" spans="1:4" x14ac:dyDescent="0.25">
      <c r="A979"/>
      <c r="B979"/>
      <c r="C979"/>
      <c r="D979"/>
    </row>
    <row r="980" spans="1:4" x14ac:dyDescent="0.25">
      <c r="A980"/>
      <c r="B980"/>
      <c r="C980"/>
      <c r="D980"/>
    </row>
    <row r="981" spans="1:4" x14ac:dyDescent="0.25">
      <c r="A981"/>
      <c r="B981"/>
      <c r="C981"/>
      <c r="D981"/>
    </row>
    <row r="982" spans="1:4" x14ac:dyDescent="0.25">
      <c r="A982"/>
      <c r="B982"/>
      <c r="C982"/>
      <c r="D982"/>
    </row>
    <row r="983" spans="1:4" x14ac:dyDescent="0.25">
      <c r="A983"/>
      <c r="B983"/>
      <c r="C983"/>
      <c r="D983"/>
    </row>
    <row r="984" spans="1:4" x14ac:dyDescent="0.25">
      <c r="A984"/>
      <c r="B984"/>
      <c r="C984"/>
      <c r="D984"/>
    </row>
    <row r="985" spans="1:4" x14ac:dyDescent="0.25">
      <c r="A985"/>
      <c r="B985"/>
      <c r="C985"/>
      <c r="D985"/>
    </row>
    <row r="986" spans="1:4" x14ac:dyDescent="0.25">
      <c r="A986"/>
      <c r="B986"/>
      <c r="C986"/>
      <c r="D986"/>
    </row>
    <row r="987" spans="1:4" x14ac:dyDescent="0.25">
      <c r="A987"/>
      <c r="B987"/>
      <c r="C987"/>
      <c r="D987"/>
    </row>
    <row r="988" spans="1:4" x14ac:dyDescent="0.25">
      <c r="A988"/>
      <c r="B988"/>
      <c r="C988"/>
      <c r="D988"/>
    </row>
    <row r="989" spans="1:4" x14ac:dyDescent="0.25">
      <c r="A989"/>
      <c r="B989"/>
      <c r="C989"/>
      <c r="D989"/>
    </row>
    <row r="990" spans="1:4" x14ac:dyDescent="0.25">
      <c r="A990"/>
      <c r="B990"/>
      <c r="C990"/>
      <c r="D990"/>
    </row>
    <row r="991" spans="1:4" x14ac:dyDescent="0.25">
      <c r="A991"/>
      <c r="B991"/>
      <c r="C991"/>
      <c r="D991"/>
    </row>
    <row r="992" spans="1:4" x14ac:dyDescent="0.25">
      <c r="A992"/>
      <c r="B992"/>
      <c r="C992"/>
      <c r="D992"/>
    </row>
    <row r="993" spans="1:4" x14ac:dyDescent="0.25">
      <c r="A993"/>
      <c r="B993"/>
      <c r="C993"/>
      <c r="D993"/>
    </row>
    <row r="994" spans="1:4" x14ac:dyDescent="0.25">
      <c r="A994"/>
      <c r="B994"/>
      <c r="C994"/>
      <c r="D994"/>
    </row>
    <row r="995" spans="1:4" x14ac:dyDescent="0.25">
      <c r="A995"/>
      <c r="B995"/>
      <c r="C995"/>
      <c r="D995"/>
    </row>
    <row r="996" spans="1:4" x14ac:dyDescent="0.25">
      <c r="A996"/>
      <c r="B996"/>
      <c r="C996"/>
      <c r="D996"/>
    </row>
    <row r="997" spans="1:4" x14ac:dyDescent="0.25">
      <c r="A997"/>
      <c r="B997"/>
      <c r="C997"/>
      <c r="D997"/>
    </row>
    <row r="998" spans="1:4" x14ac:dyDescent="0.25">
      <c r="A998"/>
      <c r="B998"/>
      <c r="C998"/>
      <c r="D998"/>
    </row>
    <row r="999" spans="1:4" x14ac:dyDescent="0.25">
      <c r="A999"/>
      <c r="B999"/>
      <c r="C999"/>
      <c r="D999"/>
    </row>
    <row r="1000" spans="1:4" x14ac:dyDescent="0.25">
      <c r="A1000"/>
      <c r="B1000"/>
      <c r="C1000"/>
      <c r="D1000"/>
    </row>
    <row r="1001" spans="1:4" x14ac:dyDescent="0.25">
      <c r="A1001"/>
      <c r="B1001"/>
      <c r="C1001"/>
      <c r="D1001"/>
    </row>
    <row r="1002" spans="1:4" x14ac:dyDescent="0.25">
      <c r="A1002"/>
      <c r="B1002"/>
      <c r="C1002"/>
      <c r="D1002"/>
    </row>
    <row r="1003" spans="1:4" x14ac:dyDescent="0.25">
      <c r="A1003"/>
      <c r="B1003"/>
      <c r="C1003"/>
      <c r="D1003"/>
    </row>
    <row r="1004" spans="1:4" x14ac:dyDescent="0.25">
      <c r="A1004"/>
      <c r="B1004"/>
      <c r="C1004"/>
      <c r="D1004"/>
    </row>
    <row r="1005" spans="1:4" x14ac:dyDescent="0.25">
      <c r="A1005"/>
      <c r="B1005"/>
      <c r="C1005"/>
      <c r="D100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">
                <anchor moveWithCells="1">
                  <from>
                    <xdr:col>4</xdr:col>
                    <xdr:colOff>257175</xdr:colOff>
                    <xdr:row>0</xdr:row>
                    <xdr:rowOff>161925</xdr:rowOff>
                  </from>
                  <to>
                    <xdr:col>5</xdr:col>
                    <xdr:colOff>247650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"/>
  <sheetViews>
    <sheetView workbookViewId="0">
      <selection activeCell="A4" sqref="A4"/>
    </sheetView>
  </sheetViews>
  <sheetFormatPr defaultRowHeight="15" x14ac:dyDescent="0.25"/>
  <cols>
    <col min="1" max="1" width="16" style="46" customWidth="1"/>
    <col min="2" max="16384" width="9.140625" style="46"/>
  </cols>
  <sheetData>
    <row r="1" spans="1:2" ht="18.75" x14ac:dyDescent="0.3">
      <c r="A1" s="3" t="str">
        <f>Param!B5</f>
        <v>Example Services Ltd.</v>
      </c>
    </row>
    <row r="2" spans="1:2" ht="15.75" x14ac:dyDescent="0.25">
      <c r="A2" s="6" t="s">
        <v>48</v>
      </c>
    </row>
    <row r="4" spans="1:2" x14ac:dyDescent="0.25">
      <c r="A4" s="46" t="s">
        <v>49</v>
      </c>
    </row>
    <row r="5" spans="1:2" x14ac:dyDescent="0.25">
      <c r="A5" s="7" t="s">
        <v>57</v>
      </c>
      <c r="B5" s="46" t="s">
        <v>58</v>
      </c>
    </row>
    <row r="6" spans="1:2" x14ac:dyDescent="0.25">
      <c r="A6" s="7" t="s">
        <v>50</v>
      </c>
      <c r="B6" s="46" t="s">
        <v>59</v>
      </c>
    </row>
    <row r="7" spans="1:2" x14ac:dyDescent="0.25">
      <c r="A7" s="7" t="s">
        <v>60</v>
      </c>
      <c r="B7" s="46" t="s">
        <v>62</v>
      </c>
    </row>
    <row r="8" spans="1:2" x14ac:dyDescent="0.25">
      <c r="A8" s="7" t="s">
        <v>51</v>
      </c>
      <c r="B8" s="46" t="s">
        <v>61</v>
      </c>
    </row>
    <row r="9" spans="1:2" x14ac:dyDescent="0.25">
      <c r="A9" s="7" t="s">
        <v>52</v>
      </c>
      <c r="B9" s="46" t="s">
        <v>63</v>
      </c>
    </row>
    <row r="10" spans="1:2" x14ac:dyDescent="0.25">
      <c r="A10" s="7" t="s">
        <v>53</v>
      </c>
      <c r="B10" s="46" t="s">
        <v>64</v>
      </c>
    </row>
    <row r="11" spans="1:2" x14ac:dyDescent="0.25">
      <c r="A11" s="7" t="s">
        <v>54</v>
      </c>
      <c r="B11" s="46" t="s">
        <v>65</v>
      </c>
    </row>
    <row r="12" spans="1:2" x14ac:dyDescent="0.25">
      <c r="A12" s="7" t="s">
        <v>55</v>
      </c>
      <c r="B12" s="46" t="s">
        <v>66</v>
      </c>
    </row>
    <row r="13" spans="1:2" x14ac:dyDescent="0.25">
      <c r="A13" s="7" t="s">
        <v>48</v>
      </c>
      <c r="B13" s="46" t="s">
        <v>56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D7EC59-0C94-4459-BE47-96EA3250C1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Dash</vt:lpstr>
      <vt:lpstr>Param</vt:lpstr>
      <vt:lpstr>CalcMonth</vt:lpstr>
      <vt:lpstr>CalcClient</vt:lpstr>
      <vt:lpstr>CalcTodate</vt:lpstr>
      <vt:lpstr>Db</vt:lpstr>
      <vt:lpstr>DbExcel</vt:lpstr>
      <vt:lpstr>Curves</vt:lpstr>
      <vt:lpstr>DbWservice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Plinio Prado</dc:creator>
  <cp:lastModifiedBy>Plinio Prado</cp:lastModifiedBy>
  <dcterms:created xsi:type="dcterms:W3CDTF">2017-03-16T14:23:35Z</dcterms:created>
  <dcterms:modified xsi:type="dcterms:W3CDTF">2017-03-23T22:41:16Z</dcterms:modified>
</cp:coreProperties>
</file>